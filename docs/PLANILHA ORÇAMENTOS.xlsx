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DF&amp;B\Orçamentos\"/>
    </mc:Choice>
  </mc:AlternateContent>
  <xr:revisionPtr revIDLastSave="0" documentId="13_ncr:2001_{A895CBA1-31B3-4111-A547-9504755665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MPEZA" sheetId="2" r:id="rId1"/>
    <sheet name="COPA" sheetId="4" r:id="rId2"/>
    <sheet name="ESCRITÓRIO" sheetId="5" r:id="rId3"/>
    <sheet name="CAIXAS" sheetId="3" r:id="rId4"/>
    <sheet name="E.P.I'S" sheetId="6" r:id="rId5"/>
    <sheet name="1º SOCORROS" sheetId="7" r:id="rId6"/>
    <sheet name="MATERIAL EXPEDIÇÃO" sheetId="8" r:id="rId7"/>
    <sheet name="ITENS IMPRESSORAS" sheetId="10" r:id="rId8"/>
    <sheet name="ETIQUETAS-RIBONS" sheetId="12" r:id="rId9"/>
    <sheet name="DIVERSOS" sheetId="13" r:id="rId10"/>
    <sheet name="10 anos" sheetId="14" r:id="rId11"/>
    <sheet name="Planilha2" sheetId="15" r:id="rId12"/>
    <sheet name="Planilha6" sheetId="19" r:id="rId13"/>
    <sheet name="Planilha5" sheetId="18" r:id="rId14"/>
    <sheet name="Placas de Sinalização" sheetId="16" r:id="rId1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5" l="1"/>
  <c r="G37" i="5"/>
  <c r="E37" i="5"/>
  <c r="G40" i="5"/>
  <c r="E40" i="5"/>
  <c r="I51" i="5"/>
  <c r="G51" i="5"/>
  <c r="E51" i="5"/>
  <c r="E6" i="19"/>
  <c r="E7" i="19"/>
  <c r="E8" i="19"/>
  <c r="E9" i="19"/>
  <c r="E10" i="19"/>
  <c r="E11" i="19"/>
  <c r="E12" i="19"/>
  <c r="E13" i="19"/>
  <c r="E14" i="19"/>
  <c r="I6" i="19"/>
  <c r="I7" i="19"/>
  <c r="I8" i="19"/>
  <c r="I9" i="19"/>
  <c r="I10" i="19"/>
  <c r="I11" i="19"/>
  <c r="I12" i="19"/>
  <c r="I13" i="19"/>
  <c r="I14" i="19"/>
  <c r="G6" i="19"/>
  <c r="G7" i="19"/>
  <c r="G8" i="19"/>
  <c r="G9" i="19"/>
  <c r="G10" i="19"/>
  <c r="G11" i="19"/>
  <c r="G12" i="19"/>
  <c r="G13" i="19"/>
  <c r="G14" i="19"/>
  <c r="G5" i="19"/>
  <c r="I5" i="19"/>
  <c r="E5" i="19"/>
  <c r="H40" i="2"/>
  <c r="I37" i="2"/>
  <c r="G37" i="2"/>
  <c r="E37" i="2"/>
  <c r="I31" i="2"/>
  <c r="G31" i="2"/>
  <c r="E31" i="2"/>
  <c r="I8" i="2"/>
  <c r="G8" i="2"/>
  <c r="E8" i="2"/>
  <c r="H19" i="19" l="1"/>
  <c r="H20" i="19" s="1"/>
  <c r="F19" i="19"/>
  <c r="F20" i="19" s="1"/>
  <c r="D19" i="19"/>
  <c r="D20" i="19" s="1"/>
  <c r="E14" i="16"/>
  <c r="E12" i="16"/>
  <c r="E11" i="16"/>
  <c r="E10" i="16"/>
  <c r="E9" i="16"/>
  <c r="E8" i="16"/>
  <c r="E7" i="16"/>
  <c r="E6" i="16"/>
  <c r="E5" i="16"/>
  <c r="F19" i="15"/>
  <c r="F20" i="15" s="1"/>
  <c r="I14" i="15"/>
  <c r="G14" i="15"/>
  <c r="E14" i="15"/>
  <c r="I13" i="15"/>
  <c r="G13" i="15"/>
  <c r="E13" i="15"/>
  <c r="I12" i="15"/>
  <c r="E12" i="15"/>
  <c r="I11" i="15"/>
  <c r="E11" i="15"/>
  <c r="I10" i="15"/>
  <c r="G10" i="15"/>
  <c r="E10" i="15"/>
  <c r="I9" i="15"/>
  <c r="E9" i="15"/>
  <c r="I8" i="15"/>
  <c r="E8" i="15"/>
  <c r="I7" i="15"/>
  <c r="G7" i="15"/>
  <c r="E7" i="15"/>
  <c r="I6" i="15"/>
  <c r="E6" i="15"/>
  <c r="I5" i="15"/>
  <c r="H19" i="15" s="1"/>
  <c r="H20" i="15" s="1"/>
  <c r="E5" i="15"/>
  <c r="D19" i="16" l="1"/>
  <c r="D20" i="16"/>
  <c r="D19" i="15"/>
  <c r="D20" i="15" s="1"/>
  <c r="C30" i="14"/>
  <c r="I10" i="14"/>
  <c r="G10" i="14"/>
  <c r="E10" i="14"/>
  <c r="I12" i="14"/>
  <c r="G12" i="14"/>
  <c r="E12" i="14"/>
  <c r="I11" i="14"/>
  <c r="G11" i="14"/>
  <c r="E11" i="14"/>
  <c r="I7" i="14"/>
  <c r="I8" i="14"/>
  <c r="I9" i="14"/>
  <c r="G7" i="14"/>
  <c r="G8" i="14"/>
  <c r="G9" i="14"/>
  <c r="E7" i="14"/>
  <c r="E8" i="14"/>
  <c r="E9" i="14"/>
  <c r="E6" i="14"/>
  <c r="I6" i="14"/>
  <c r="G6" i="14"/>
  <c r="E5" i="14"/>
  <c r="I30" i="5"/>
  <c r="G30" i="5"/>
  <c r="E30" i="5"/>
  <c r="I9" i="7"/>
  <c r="D14" i="7"/>
  <c r="H14" i="7"/>
  <c r="I6" i="7"/>
  <c r="I7" i="7"/>
  <c r="I8" i="7"/>
  <c r="I10" i="7"/>
  <c r="I11" i="7"/>
  <c r="I12" i="7"/>
  <c r="I5" i="7"/>
  <c r="G6" i="7"/>
  <c r="G7" i="7"/>
  <c r="G8" i="7"/>
  <c r="G9" i="7"/>
  <c r="G10" i="7"/>
  <c r="G11" i="7"/>
  <c r="G12" i="7"/>
  <c r="G5" i="7"/>
  <c r="E6" i="7"/>
  <c r="E7" i="7"/>
  <c r="E8" i="7"/>
  <c r="E9" i="7"/>
  <c r="E10" i="7"/>
  <c r="E11" i="7"/>
  <c r="E12" i="7"/>
  <c r="E5" i="7"/>
  <c r="H11" i="6"/>
  <c r="F11" i="6"/>
  <c r="D11" i="6"/>
  <c r="I6" i="6"/>
  <c r="I7" i="6"/>
  <c r="I8" i="6"/>
  <c r="I9" i="6"/>
  <c r="I5" i="6"/>
  <c r="G6" i="6"/>
  <c r="G7" i="6"/>
  <c r="G8" i="6"/>
  <c r="G9" i="6"/>
  <c r="G5" i="6"/>
  <c r="E6" i="6"/>
  <c r="E7" i="6"/>
  <c r="E8" i="6"/>
  <c r="E9" i="6"/>
  <c r="E5" i="6"/>
  <c r="H19" i="13"/>
  <c r="H20" i="13" s="1"/>
  <c r="G6" i="10"/>
  <c r="G7" i="10"/>
  <c r="G8" i="10"/>
  <c r="G5" i="10"/>
  <c r="F10" i="10" s="1"/>
  <c r="F11" i="10" s="1"/>
  <c r="E6" i="10"/>
  <c r="E7" i="10"/>
  <c r="E8" i="10"/>
  <c r="E5" i="10"/>
  <c r="I10" i="13"/>
  <c r="I5" i="13"/>
  <c r="I8" i="13"/>
  <c r="I6" i="13"/>
  <c r="I12" i="13"/>
  <c r="I11" i="13"/>
  <c r="I9" i="13"/>
  <c r="I7" i="13"/>
  <c r="I14" i="13"/>
  <c r="I13" i="13"/>
  <c r="G14" i="13"/>
  <c r="G13" i="13"/>
  <c r="F19" i="13" s="1"/>
  <c r="G10" i="13"/>
  <c r="E13" i="13"/>
  <c r="E14" i="13"/>
  <c r="E5" i="13"/>
  <c r="E8" i="13"/>
  <c r="E6" i="13"/>
  <c r="E12" i="13"/>
  <c r="E11" i="13"/>
  <c r="E9" i="13"/>
  <c r="E7" i="13"/>
  <c r="E10" i="13"/>
  <c r="G7" i="13"/>
  <c r="I7" i="3"/>
  <c r="I6" i="3"/>
  <c r="G8" i="3"/>
  <c r="G7" i="3"/>
  <c r="F13" i="3" s="1"/>
  <c r="F14" i="3" s="1"/>
  <c r="G6" i="3"/>
  <c r="I8" i="3"/>
  <c r="E8" i="3"/>
  <c r="E7" i="3"/>
  <c r="E6" i="3"/>
  <c r="I32" i="5"/>
  <c r="G32" i="5"/>
  <c r="E32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6" i="5"/>
  <c r="I27" i="5"/>
  <c r="I28" i="5"/>
  <c r="I29" i="5"/>
  <c r="I36" i="5"/>
  <c r="I35" i="5"/>
  <c r="I37" i="5"/>
  <c r="I38" i="5"/>
  <c r="I41" i="5"/>
  <c r="I42" i="5"/>
  <c r="I43" i="5"/>
  <c r="I44" i="5"/>
  <c r="I45" i="5"/>
  <c r="I46" i="5"/>
  <c r="I47" i="5"/>
  <c r="I48" i="5"/>
  <c r="I49" i="5"/>
  <c r="I50" i="5"/>
  <c r="I52" i="5"/>
  <c r="I31" i="5"/>
  <c r="I33" i="5"/>
  <c r="I34" i="5"/>
  <c r="I39" i="5"/>
  <c r="I25" i="5"/>
  <c r="I5" i="5"/>
  <c r="I6" i="4"/>
  <c r="I7" i="4"/>
  <c r="H16" i="4" s="1"/>
  <c r="H17" i="4" s="1"/>
  <c r="I8" i="4"/>
  <c r="I9" i="4"/>
  <c r="I10" i="4"/>
  <c r="I11" i="4"/>
  <c r="I12" i="4"/>
  <c r="I13" i="4"/>
  <c r="I14" i="4"/>
  <c r="I5" i="4"/>
  <c r="G6" i="4"/>
  <c r="G7" i="4"/>
  <c r="G8" i="4"/>
  <c r="G9" i="4"/>
  <c r="G10" i="4"/>
  <c r="G11" i="4"/>
  <c r="G12" i="4"/>
  <c r="G13" i="4"/>
  <c r="G14" i="4"/>
  <c r="G5" i="4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6" i="5"/>
  <c r="G27" i="5"/>
  <c r="G28" i="5"/>
  <c r="G29" i="5"/>
  <c r="G36" i="5"/>
  <c r="G35" i="5"/>
  <c r="G38" i="5"/>
  <c r="G41" i="5"/>
  <c r="G42" i="5"/>
  <c r="G43" i="5"/>
  <c r="G44" i="5"/>
  <c r="G45" i="5"/>
  <c r="G46" i="5"/>
  <c r="G47" i="5"/>
  <c r="G48" i="5"/>
  <c r="G49" i="5"/>
  <c r="G50" i="5"/>
  <c r="G52" i="5"/>
  <c r="G31" i="5"/>
  <c r="G33" i="5"/>
  <c r="G34" i="5"/>
  <c r="G39" i="5"/>
  <c r="G25" i="5"/>
  <c r="G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6" i="5"/>
  <c r="E27" i="5"/>
  <c r="E28" i="5"/>
  <c r="E29" i="5"/>
  <c r="E36" i="5"/>
  <c r="E35" i="5"/>
  <c r="E38" i="5"/>
  <c r="E41" i="5"/>
  <c r="E42" i="5"/>
  <c r="E43" i="5"/>
  <c r="E44" i="5"/>
  <c r="E45" i="5"/>
  <c r="E46" i="5"/>
  <c r="E47" i="5"/>
  <c r="E48" i="5"/>
  <c r="E49" i="5"/>
  <c r="E50" i="5"/>
  <c r="E52" i="5"/>
  <c r="E31" i="5"/>
  <c r="E33" i="5"/>
  <c r="E34" i="5"/>
  <c r="E39" i="5"/>
  <c r="E25" i="5"/>
  <c r="E5" i="5"/>
  <c r="E9" i="4"/>
  <c r="E6" i="4"/>
  <c r="E7" i="4"/>
  <c r="E8" i="4"/>
  <c r="E10" i="4"/>
  <c r="E11" i="4"/>
  <c r="E12" i="4"/>
  <c r="E13" i="4"/>
  <c r="E14" i="4"/>
  <c r="E5" i="4"/>
  <c r="I6" i="2"/>
  <c r="I7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2" i="2"/>
  <c r="I33" i="2"/>
  <c r="I34" i="2"/>
  <c r="I35" i="2"/>
  <c r="I36" i="2"/>
  <c r="I38" i="2"/>
  <c r="I5" i="2"/>
  <c r="G6" i="2"/>
  <c r="G7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F40" i="2" s="1"/>
  <c r="G26" i="2"/>
  <c r="G27" i="2"/>
  <c r="G28" i="2"/>
  <c r="G29" i="2"/>
  <c r="G30" i="2"/>
  <c r="G32" i="2"/>
  <c r="G33" i="2"/>
  <c r="G34" i="2"/>
  <c r="G35" i="2"/>
  <c r="G36" i="2"/>
  <c r="G38" i="2"/>
  <c r="G5" i="2"/>
  <c r="E5" i="2"/>
  <c r="E6" i="2"/>
  <c r="E7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D40" i="2" s="1"/>
  <c r="E28" i="2"/>
  <c r="E29" i="2"/>
  <c r="E30" i="2"/>
  <c r="E32" i="2"/>
  <c r="E33" i="2"/>
  <c r="E34" i="2"/>
  <c r="E35" i="2"/>
  <c r="E36" i="2"/>
  <c r="E38" i="2"/>
  <c r="H13" i="12"/>
  <c r="F13" i="12"/>
  <c r="D13" i="12"/>
  <c r="H12" i="12"/>
  <c r="F12" i="12"/>
  <c r="D12" i="12"/>
  <c r="H11" i="10"/>
  <c r="H10" i="10"/>
  <c r="H11" i="8"/>
  <c r="F11" i="8"/>
  <c r="D11" i="8"/>
  <c r="H10" i="8"/>
  <c r="F10" i="8"/>
  <c r="D10" i="8"/>
  <c r="F54" i="5" l="1"/>
  <c r="F55" i="5" s="1"/>
  <c r="D54" i="5"/>
  <c r="D55" i="5" s="1"/>
  <c r="H54" i="5"/>
  <c r="H55" i="5" s="1"/>
  <c r="D16" i="4"/>
  <c r="D17" i="4" s="1"/>
  <c r="H14" i="14"/>
  <c r="H15" i="14" s="1"/>
  <c r="F14" i="14"/>
  <c r="F15" i="14" s="1"/>
  <c r="D14" i="14"/>
  <c r="D15" i="14" s="1"/>
  <c r="H15" i="7"/>
  <c r="F14" i="7"/>
  <c r="F15" i="7" s="1"/>
  <c r="D15" i="7"/>
  <c r="H12" i="6"/>
  <c r="F12" i="6"/>
  <c r="D12" i="6"/>
  <c r="D19" i="13"/>
  <c r="D20" i="13" s="1"/>
  <c r="D10" i="10"/>
  <c r="D11" i="10" s="1"/>
  <c r="F20" i="13"/>
  <c r="D13" i="3"/>
  <c r="D14" i="3" s="1"/>
  <c r="H13" i="3"/>
  <c r="H14" i="3" s="1"/>
  <c r="F16" i="4"/>
  <c r="F17" i="4" s="1"/>
  <c r="F41" i="2"/>
  <c r="H41" i="2"/>
  <c r="D41" i="2"/>
</calcChain>
</file>

<file path=xl/sharedStrings.xml><?xml version="1.0" encoding="utf-8"?>
<sst xmlns="http://schemas.openxmlformats.org/spreadsheetml/2006/main" count="444" uniqueCount="223">
  <si>
    <t>LIMPEZA</t>
  </si>
  <si>
    <t>GIMBA</t>
  </si>
  <si>
    <t>TENDA</t>
  </si>
  <si>
    <t>ATACADÃO</t>
  </si>
  <si>
    <t>COMENTÁRIOS</t>
  </si>
  <si>
    <t>DESCRIÇÃO DO ITEM</t>
  </si>
  <si>
    <t>QUANTIDADE</t>
  </si>
  <si>
    <t>VALOR UNIDADE</t>
  </si>
  <si>
    <t>VALOR TOTAL</t>
  </si>
  <si>
    <t>ÁGUA SANITÁRIA</t>
  </si>
  <si>
    <t>ALCOOL EM GEL</t>
  </si>
  <si>
    <t>ALCOOL LÍQUIDO</t>
  </si>
  <si>
    <t>BORRIFADOR</t>
  </si>
  <si>
    <t>DESINFETANTE</t>
  </si>
  <si>
    <t>DETERGENTE</t>
  </si>
  <si>
    <t>ESPANADOR</t>
  </si>
  <si>
    <t>ESPONJA</t>
  </si>
  <si>
    <t>ESPONJA DE AÇO</t>
  </si>
  <si>
    <t>FLANELA</t>
  </si>
  <si>
    <t>GUARDANAPO</t>
  </si>
  <si>
    <t>LIMPADOR MULTIUSO</t>
  </si>
  <si>
    <t>LUSTRA MOVEL</t>
  </si>
  <si>
    <t>ODORIZADOR (BOM AR)</t>
  </si>
  <si>
    <t>PÁ DE LIXO</t>
  </si>
  <si>
    <t>PANO DE CHÃO</t>
  </si>
  <si>
    <t>PANO DE PRATO</t>
  </si>
  <si>
    <t>PAPEL HIGIÊNICO ROLÃO</t>
  </si>
  <si>
    <t>PAPEL HIGIÊNICO</t>
  </si>
  <si>
    <t>PAPEL INTERFOLHA</t>
  </si>
  <si>
    <t>PAPEL TOALHA ROLÃO</t>
  </si>
  <si>
    <t>PEDRA SANITARIA</t>
  </si>
  <si>
    <t>REMOVEDOR</t>
  </si>
  <si>
    <t>RODO</t>
  </si>
  <si>
    <t>SABÃO EM PÓ</t>
  </si>
  <si>
    <t>SABONETE LIQUIDO</t>
  </si>
  <si>
    <t>SACO DE ABSORVENTE</t>
  </si>
  <si>
    <t>SACO DE LIXO 105 LITROS</t>
  </si>
  <si>
    <t>VASSOURA</t>
  </si>
  <si>
    <t>FRETE</t>
  </si>
  <si>
    <t>TOTAL</t>
  </si>
  <si>
    <t>TOTAL + FRETE</t>
  </si>
  <si>
    <t>DATA ORÇAMENTO</t>
  </si>
  <si>
    <t>APROVAÇÃO DIRETOR</t>
  </si>
  <si>
    <t>ORÇAMENTISTA</t>
  </si>
  <si>
    <t>COPA</t>
  </si>
  <si>
    <t xml:space="preserve">AÇUCAR </t>
  </si>
  <si>
    <t>AÇUCAR SACHÊ</t>
  </si>
  <si>
    <t>ADOÇANTE</t>
  </si>
  <si>
    <t>BALA</t>
  </si>
  <si>
    <t>CAFÉ (PILÃO/MELITA)</t>
  </si>
  <si>
    <t>CHÁ</t>
  </si>
  <si>
    <t>COPO DESCARTAVEL ÁGUA</t>
  </si>
  <si>
    <t>COPO DESCARTAVEL CAFÉ</t>
  </si>
  <si>
    <t>FILTRO DE PAPEL 103</t>
  </si>
  <si>
    <t>PALETA</t>
  </si>
  <si>
    <t>ESCRITÓRIO</t>
  </si>
  <si>
    <t>KALUNGA</t>
  </si>
  <si>
    <t>ATACADO JANDAIA</t>
  </si>
  <si>
    <t>APONTADOR</t>
  </si>
  <si>
    <t>BORRACHA</t>
  </si>
  <si>
    <t>CADERNO</t>
  </si>
  <si>
    <t>CAIXA CORRESPONDENCIA</t>
  </si>
  <si>
    <t>CALCULADORA</t>
  </si>
  <si>
    <t>CANETA PRETA</t>
  </si>
  <si>
    <t>CANETA VERMELHA</t>
  </si>
  <si>
    <t>CLIPS 4/0</t>
  </si>
  <si>
    <t>CLIPS 8/0</t>
  </si>
  <si>
    <t>ENVELOPE BRANCO A4</t>
  </si>
  <si>
    <t>ENVELOPE PARDO A4</t>
  </si>
  <si>
    <t>ESTILETE</t>
  </si>
  <si>
    <t>ETIQUETA CODIFICADORA</t>
  </si>
  <si>
    <t>FOLHA DE SULFITE</t>
  </si>
  <si>
    <t>GRAFITE</t>
  </si>
  <si>
    <t>GRAMPEADOR</t>
  </si>
  <si>
    <t>GRAMPO</t>
  </si>
  <si>
    <t>LAMINA ESTILETE</t>
  </si>
  <si>
    <t>LAPÍS PRETO</t>
  </si>
  <si>
    <t>MARCA TEXTO</t>
  </si>
  <si>
    <t>MARCA TEXTO GROSSO</t>
  </si>
  <si>
    <t>MOLHA DEDO</t>
  </si>
  <si>
    <t>MOUSE</t>
  </si>
  <si>
    <t>PINCEL ATOMICO CAIXA</t>
  </si>
  <si>
    <t>PORTA LAPIS</t>
  </si>
  <si>
    <t>POSTIT</t>
  </si>
  <si>
    <t>TECLADO</t>
  </si>
  <si>
    <t>TESOURA</t>
  </si>
  <si>
    <t>TINTA IMPRESSORA CANON AMARELO</t>
  </si>
  <si>
    <t>TINTA IMPRESSORA CANON AZUL</t>
  </si>
  <si>
    <t>TINTA IMPRESSORA CANON MARGENTA</t>
  </si>
  <si>
    <t>TINTA IMPRESSORA CANON PRETO</t>
  </si>
  <si>
    <t>TINTA IMPRESSORA EPSON AMARELO</t>
  </si>
  <si>
    <t>TINTA IMPRESSORA EPSON AZUL</t>
  </si>
  <si>
    <t>TINTA IMPRESSORA EPSON MARGENTA</t>
  </si>
  <si>
    <t>TINTA IMPRESSORA EPSON PRETO</t>
  </si>
  <si>
    <t>TINTA PARA PINCEL ATOMICO</t>
  </si>
  <si>
    <t>PASTA SANFONADA</t>
  </si>
  <si>
    <t>PILHA AA</t>
  </si>
  <si>
    <t>PRANCHETA</t>
  </si>
  <si>
    <t>LIMPADOR QUADRO BRANCO</t>
  </si>
  <si>
    <t>PEN DRIVE</t>
  </si>
  <si>
    <t>CAIXAS</t>
  </si>
  <si>
    <t>NOBELKRAFT</t>
  </si>
  <si>
    <t>LUCCAPEL</t>
  </si>
  <si>
    <t>AZ EMBALAGENS</t>
  </si>
  <si>
    <t>CAIXAS PP</t>
  </si>
  <si>
    <t>CAIXAS P</t>
  </si>
  <si>
    <t>CAIXAS M</t>
  </si>
  <si>
    <t>CAIXAS G</t>
  </si>
  <si>
    <t>CAIXAS GG</t>
  </si>
  <si>
    <t xml:space="preserve"> CAIXA MALETA 01 (ABA INFERIOR 
TRANSPASSADA) 2100x 760x 850</t>
  </si>
  <si>
    <t xml:space="preserve"> CAIXA MALETA 01 (ABA NORMAL) 2100x 760x 850</t>
  </si>
  <si>
    <t>E.P.I'S</t>
  </si>
  <si>
    <t>MERCADO LIVRE</t>
  </si>
  <si>
    <t>ASTRO</t>
  </si>
  <si>
    <t>LOJA DO MECANICO</t>
  </si>
  <si>
    <t>BOTA</t>
  </si>
  <si>
    <t>CAPACETE</t>
  </si>
  <si>
    <t>CINTO DE SEGURANÇA</t>
  </si>
  <si>
    <t>LUVAS ANTICORTE</t>
  </si>
  <si>
    <t>TALABARTE</t>
  </si>
  <si>
    <t>1ºSOCORROS</t>
  </si>
  <si>
    <t>DROGARIA SÃO PAULO</t>
  </si>
  <si>
    <t>ULTRAFARMA</t>
  </si>
  <si>
    <t>DROGARAIA</t>
  </si>
  <si>
    <t>AGUA BORICADA</t>
  </si>
  <si>
    <t>ATADURA</t>
  </si>
  <si>
    <t>BANDID CXS 40 UNID</t>
  </si>
  <si>
    <t>ESPARADRAPO</t>
  </si>
  <si>
    <t>GAZE</t>
  </si>
  <si>
    <t>LUVA LATEX</t>
  </si>
  <si>
    <t>POVEDINE</t>
  </si>
  <si>
    <t>SORO FISIOLOGICO</t>
  </si>
  <si>
    <t>MATERIAL EXPEDIÇÃO</t>
  </si>
  <si>
    <t>EXPLENDIDA</t>
  </si>
  <si>
    <t>SAFRA</t>
  </si>
  <si>
    <t>TEKHA</t>
  </si>
  <si>
    <t>FITA ADESIVA</t>
  </si>
  <si>
    <t>PAPEL ONDULADO</t>
  </si>
  <si>
    <t>PLASTICO BOLHA</t>
  </si>
  <si>
    <t>ITENS IMPRESSORA</t>
  </si>
  <si>
    <t>W.A.S</t>
  </si>
  <si>
    <t>SERVE QUALITY</t>
  </si>
  <si>
    <t>TONER BROTHER L</t>
  </si>
  <si>
    <t>ETIQUETAS</t>
  </si>
  <si>
    <t>BLESS</t>
  </si>
  <si>
    <t xml:space="preserve">ETIQUETA ZEBRA Térmica 100X150mm 93M tubete de 3°  </t>
  </si>
  <si>
    <t>ETIQUETA ARGOX 10X15 A-2140 PPLA 31 METROS tubete 1º</t>
  </si>
  <si>
    <t>ETIQUETA ARGOX 2 COLUNAS 50X30X2 70 METROS</t>
  </si>
  <si>
    <t>ETIQUETA CASCA DE OVO DESTRUTIVEL</t>
  </si>
  <si>
    <t>RIBBON 110x74 Cera</t>
  </si>
  <si>
    <t>DIVERSOS</t>
  </si>
  <si>
    <t>TAMPA PRIVADA</t>
  </si>
  <si>
    <t>CADEADO 20</t>
  </si>
  <si>
    <t>LEITOR CODIGO DE BARRAS</t>
  </si>
  <si>
    <t>HEADSET COM BASE</t>
  </si>
  <si>
    <t>SUPORTE MICROONDAS</t>
  </si>
  <si>
    <t>RODINHA CARINHO DE LIMPEZA (KIT 5)</t>
  </si>
  <si>
    <t>SACO DE LIXO 15 LITROS c/100 unidades</t>
  </si>
  <si>
    <t>SACO DE LIXO 30 LITROS c/50 unidades</t>
  </si>
  <si>
    <t>PLASTICO 4 FUROS C/100 UNIDADES</t>
  </si>
  <si>
    <t>PILHA AAA C/ 8 UNIDADES</t>
  </si>
  <si>
    <t>MAGAZINE LUIZA</t>
  </si>
  <si>
    <t>Kit Carrinho + Cabo + Mop Úmido Doblo Flex 20 Bralimpia</t>
  </si>
  <si>
    <t>Varredeira Kärcher S4 Twin 2400 m²/h 3 Escovas - 20L - Karcher</t>
  </si>
  <si>
    <t>MALETA ORGANIZADORA PARA PARAFUSOS E PREGOS</t>
  </si>
  <si>
    <t>CILINDRO BROTHER L2540DW DR-2340</t>
  </si>
  <si>
    <t>CILINDRO BROTHER 7520DW - DR-B021</t>
  </si>
  <si>
    <t xml:space="preserve">TONER BROTHER 7520 DW TN-B021 </t>
  </si>
  <si>
    <t>PASTA L C/10 UNIDADES</t>
  </si>
  <si>
    <t>RADIO Baofeng Walk Talk Comunicador 12km 9 (KIT C/6)</t>
  </si>
  <si>
    <t>SUCO</t>
  </si>
  <si>
    <t>REFRIGERANTE</t>
  </si>
  <si>
    <t>LANCHE DE METRO  (FRIOS, SALAME, ATUM, FRANGO)</t>
  </si>
  <si>
    <t xml:space="preserve">BOLO 8KGS </t>
  </si>
  <si>
    <t>LUPE SALGADOS/TENDA/ZENA BOLOS</t>
  </si>
  <si>
    <t>RS SALGADOS/ATACADÃO/DOCES DA DRI</t>
  </si>
  <si>
    <t>SUCOS</t>
  </si>
  <si>
    <t>EVENTO ANIVERSÁRIO 10 ANOS DA EMPRESA</t>
  </si>
  <si>
    <t xml:space="preserve">SENADINHO/GIMBA/SWEET MARI </t>
  </si>
  <si>
    <t>BANNER DECORAÇÃO</t>
  </si>
  <si>
    <t>BEXIGAS</t>
  </si>
  <si>
    <t>SALGADOS DIVERSOS (COXINHA, RISOLE, BOLINHO DE QUEIJO, KIBE) Obs: 9 centos</t>
  </si>
  <si>
    <t>DOCINHOS (BRIGADEIRO/BEIJINHO) OBS: 2 CENTOS</t>
  </si>
  <si>
    <t>LACHE DE METRO PADARIA ADRIANA</t>
  </si>
  <si>
    <t>LUPE SALGADOS</t>
  </si>
  <si>
    <t xml:space="preserve">BOLO </t>
  </si>
  <si>
    <t>DOCE</t>
  </si>
  <si>
    <t>BANNER</t>
  </si>
  <si>
    <t>BEXIGA</t>
  </si>
  <si>
    <t>LIXEIRA 100 LITROS</t>
  </si>
  <si>
    <t>PLACAS IDENTIFICAÇÃO 25(L)x6(A)</t>
  </si>
  <si>
    <t>PLACA 38(L)  x 16(A)</t>
  </si>
  <si>
    <t xml:space="preserve">PLACA SALA DE REUNIÃO 25(L)x7(A) (LIVRE/OCUPADO) </t>
  </si>
  <si>
    <t>DIVISÓRIA PRETA 120x40</t>
  </si>
  <si>
    <t>DIVISÓRIA PRETA 120x20</t>
  </si>
  <si>
    <t>PLACA DE IDENTIFICAÇÃO POR SETOR 100(L)x40(A)</t>
  </si>
  <si>
    <t>INSTALAÇÃO</t>
  </si>
  <si>
    <t>MG ACRILICOS</t>
  </si>
  <si>
    <t>PLACAS DE SINALIZAÇÃO</t>
  </si>
  <si>
    <t>PLACA DE IDENTIFICAÇÃO E-COM/EXPEDIÇÃO 34(L)x25(A)</t>
  </si>
  <si>
    <t>PLACA DE IDENTIFICAÇÃO DE RUAS 25(L)x34(A)</t>
  </si>
  <si>
    <t>gustavo</t>
  </si>
  <si>
    <t>guilherme</t>
  </si>
  <si>
    <t>thiago</t>
  </si>
  <si>
    <t>daniel</t>
  </si>
  <si>
    <t>eduardo</t>
  </si>
  <si>
    <t>thauã</t>
  </si>
  <si>
    <t>caio</t>
  </si>
  <si>
    <t>ivanildo</t>
  </si>
  <si>
    <t>edmilson</t>
  </si>
  <si>
    <t>thalison</t>
  </si>
  <si>
    <t>newton</t>
  </si>
  <si>
    <t>evandro</t>
  </si>
  <si>
    <t>leonardo</t>
  </si>
  <si>
    <t>SAPONACEO</t>
  </si>
  <si>
    <t>BALDE</t>
  </si>
  <si>
    <t>SABÃO EM PEDRA PCT C/ 5 UNIDADES</t>
  </si>
  <si>
    <t>Impressora Multifuncional Epson Ecotank L3250 - Tanque de Tinta Colorida USB Wi-Fi</t>
  </si>
  <si>
    <t>TIO BOB</t>
  </si>
  <si>
    <t>Desktop OptiPlex MICRO</t>
  </si>
  <si>
    <t>SULFITE PCT 500 FOLHAS</t>
  </si>
  <si>
    <t>CANETA AZUL CX 50 UNIDADES</t>
  </si>
  <si>
    <t>QUADRO BRANCO 120X90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</si>
</sst>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R$&quot;\ #,##0;\-&quot;R$&quot;\ #,##0"/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0;\-&quot;R$&quot;\ #,##0.000"/>
  </numFmts>
  <fonts count="1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</font>
    <font>
      <b/>
      <sz val="1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72">
    <xf numFmtId="0" fontId="0" fillId="0" borderId="0" xfId="0"/>
    <xf numFmtId="0" fontId="3" fillId="3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right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164" fontId="5" fillId="0" borderId="5" xfId="0" applyNumberFormat="1" applyFont="1" applyBorder="1" applyAlignment="1">
      <alignment vertical="center"/>
    </xf>
    <xf numFmtId="7" fontId="5" fillId="0" borderId="5" xfId="0" applyNumberFormat="1" applyFont="1" applyBorder="1" applyAlignment="1">
      <alignment vertical="center"/>
    </xf>
    <xf numFmtId="5" fontId="5" fillId="0" borderId="5" xfId="0" applyNumberFormat="1" applyFont="1" applyBorder="1" applyAlignment="1">
      <alignment vertical="center"/>
    </xf>
    <xf numFmtId="44" fontId="5" fillId="0" borderId="5" xfId="0" applyNumberFormat="1" applyFont="1" applyBorder="1" applyAlignment="1">
      <alignment vertical="top" wrapText="1"/>
    </xf>
    <xf numFmtId="0" fontId="5" fillId="0" borderId="5" xfId="0" applyFont="1" applyBorder="1" applyAlignment="1">
      <alignment vertical="center" wrapText="1"/>
    </xf>
    <xf numFmtId="44" fontId="5" fillId="0" borderId="5" xfId="0" applyNumberFormat="1" applyFont="1" applyBorder="1" applyAlignment="1">
      <alignment vertical="center" wrapText="1"/>
    </xf>
    <xf numFmtId="44" fontId="5" fillId="0" borderId="5" xfId="1" applyFont="1" applyBorder="1" applyAlignment="1">
      <alignment vertical="center"/>
    </xf>
    <xf numFmtId="0" fontId="5" fillId="0" borderId="0" xfId="0" applyFont="1" applyAlignment="1">
      <alignment vertical="center"/>
    </xf>
    <xf numFmtId="44" fontId="5" fillId="0" borderId="5" xfId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44" fontId="5" fillId="0" borderId="5" xfId="1" applyFont="1" applyBorder="1" applyAlignment="1">
      <alignment horizontal="left" vertical="center"/>
    </xf>
    <xf numFmtId="0" fontId="7" fillId="0" borderId="5" xfId="0" applyFont="1" applyBorder="1" applyAlignment="1">
      <alignment vertical="top" wrapText="1"/>
    </xf>
    <xf numFmtId="44" fontId="5" fillId="0" borderId="5" xfId="1" applyFont="1" applyBorder="1" applyAlignment="1">
      <alignment vertical="top" wrapText="1"/>
    </xf>
    <xf numFmtId="44" fontId="5" fillId="0" borderId="5" xfId="1" applyFont="1" applyBorder="1" applyAlignment="1">
      <alignment horizontal="center" vertical="top" wrapText="1"/>
    </xf>
    <xf numFmtId="0" fontId="2" fillId="0" borderId="0" xfId="0" applyFont="1"/>
    <xf numFmtId="0" fontId="4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44" fontId="4" fillId="0" borderId="1" xfId="1" applyFont="1" applyBorder="1" applyAlignment="1">
      <alignment horizontal="center"/>
    </xf>
    <xf numFmtId="44" fontId="4" fillId="0" borderId="3" xfId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4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4" fontId="3" fillId="0" borderId="1" xfId="1" applyFont="1" applyFill="1" applyBorder="1" applyAlignment="1">
      <alignment horizontal="center"/>
    </xf>
    <xf numFmtId="44" fontId="3" fillId="0" borderId="3" xfId="1" applyFont="1" applyFill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8" fillId="0" borderId="1" xfId="1" applyFont="1" applyFill="1" applyBorder="1" applyAlignment="1">
      <alignment horizontal="center"/>
    </xf>
    <xf numFmtId="44" fontId="8" fillId="0" borderId="3" xfId="1" applyFont="1" applyFill="1" applyBorder="1" applyAlignment="1">
      <alignment horizontal="center"/>
    </xf>
    <xf numFmtId="44" fontId="8" fillId="0" borderId="1" xfId="1" applyFont="1" applyBorder="1" applyAlignment="1">
      <alignment horizontal="center"/>
    </xf>
    <xf numFmtId="44" fontId="8" fillId="0" borderId="3" xfId="1" applyFont="1" applyBorder="1" applyAlignment="1">
      <alignment horizontal="center"/>
    </xf>
    <xf numFmtId="0" fontId="9" fillId="0" borderId="5" xfId="0" applyFont="1" applyBorder="1" applyAlignment="1">
      <alignment vertical="center"/>
    </xf>
    <xf numFmtId="0" fontId="1" fillId="0" borderId="0" xfId="0" applyFont="1"/>
    <xf numFmtId="0" fontId="10" fillId="0" borderId="5" xfId="0" applyFont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5"/>
  <sheetViews>
    <sheetView showGridLines="0" topLeftCell="A2" zoomScaleNormal="100" workbookViewId="0">
      <selection activeCell="E21" sqref="E21"/>
    </sheetView>
  </sheetViews>
  <sheetFormatPr defaultColWidth="9" defaultRowHeight="14.4" x14ac:dyDescent="0.25"/>
  <cols>
    <col min="1" max="1" width="6.5546875" customWidth="1"/>
    <col min="2" max="2" width="33.88671875" bestFit="1" customWidth="1"/>
    <col min="3" max="3" width="12" customWidth="1"/>
    <col min="4" max="4" width="14.6640625" customWidth="1"/>
    <col min="5" max="5" width="12" customWidth="1"/>
    <col min="6" max="6" width="14.6640625" customWidth="1"/>
    <col min="7" max="7" width="12" customWidth="1"/>
    <col min="8" max="8" width="14.6640625" customWidth="1"/>
    <col min="9" max="9" width="12" customWidth="1"/>
    <col min="10" max="10" width="30.77734375" customWidth="1"/>
  </cols>
  <sheetData>
    <row r="2" spans="2:10" ht="21" customHeight="1" x14ac:dyDescent="0.25">
      <c r="B2" s="50" t="s">
        <v>0</v>
      </c>
      <c r="C2" s="51"/>
      <c r="D2" s="51"/>
      <c r="E2" s="51"/>
      <c r="F2" s="51"/>
      <c r="G2" s="51"/>
      <c r="H2" s="51"/>
      <c r="I2" s="51"/>
      <c r="J2" s="52"/>
    </row>
    <row r="3" spans="2:10" ht="21" customHeight="1" x14ac:dyDescent="0.3">
      <c r="B3" s="53"/>
      <c r="C3" s="54"/>
      <c r="D3" s="55" t="s">
        <v>1</v>
      </c>
      <c r="E3" s="56"/>
      <c r="F3" s="55" t="s">
        <v>2</v>
      </c>
      <c r="G3" s="57"/>
      <c r="H3" s="55" t="s">
        <v>3</v>
      </c>
      <c r="I3" s="57"/>
      <c r="J3" s="37" t="s">
        <v>4</v>
      </c>
    </row>
    <row r="4" spans="2:10" ht="15.6" thickBot="1" x14ac:dyDescent="0.35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ht="15" thickBot="1" x14ac:dyDescent="0.3">
      <c r="B5" s="4" t="s">
        <v>9</v>
      </c>
      <c r="C5" s="5"/>
      <c r="D5" s="20">
        <v>0</v>
      </c>
      <c r="E5" s="20">
        <f>D5*C5</f>
        <v>0</v>
      </c>
      <c r="F5" s="20">
        <v>0</v>
      </c>
      <c r="G5" s="20">
        <f>F5*C5</f>
        <v>0</v>
      </c>
      <c r="H5" s="20">
        <v>0</v>
      </c>
      <c r="I5" s="20">
        <f>H5*C5</f>
        <v>0</v>
      </c>
      <c r="J5" s="4"/>
    </row>
    <row r="6" spans="2:10" ht="15" thickBot="1" x14ac:dyDescent="0.3">
      <c r="B6" s="4" t="s">
        <v>10</v>
      </c>
      <c r="C6" s="5"/>
      <c r="D6" s="20">
        <v>0</v>
      </c>
      <c r="E6" s="20">
        <f t="shared" ref="E6:E38" si="0">D6*C6</f>
        <v>0</v>
      </c>
      <c r="F6" s="20">
        <v>0</v>
      </c>
      <c r="G6" s="20">
        <f t="shared" ref="G6:G38" si="1">F6*C6</f>
        <v>0</v>
      </c>
      <c r="H6" s="20">
        <v>0</v>
      </c>
      <c r="I6" s="20">
        <f t="shared" ref="I6:I38" si="2">H6*C6</f>
        <v>0</v>
      </c>
      <c r="J6" s="4"/>
    </row>
    <row r="7" spans="2:10" ht="15" thickBot="1" x14ac:dyDescent="0.3">
      <c r="B7" s="69" t="s">
        <v>11</v>
      </c>
      <c r="C7" s="5"/>
      <c r="D7" s="20">
        <v>0</v>
      </c>
      <c r="E7" s="20">
        <f t="shared" si="0"/>
        <v>0</v>
      </c>
      <c r="F7" s="20">
        <v>0</v>
      </c>
      <c r="G7" s="20">
        <f t="shared" si="1"/>
        <v>0</v>
      </c>
      <c r="H7" s="20">
        <v>0</v>
      </c>
      <c r="I7" s="20">
        <f t="shared" si="2"/>
        <v>0</v>
      </c>
      <c r="J7" s="4"/>
    </row>
    <row r="8" spans="2:10" ht="15" thickBot="1" x14ac:dyDescent="0.3">
      <c r="B8" s="19" t="s">
        <v>215</v>
      </c>
      <c r="C8" s="5">
        <v>1</v>
      </c>
      <c r="D8" s="20">
        <v>14.79</v>
      </c>
      <c r="E8" s="20">
        <f t="shared" ref="E8" si="3">D8*C8</f>
        <v>14.79</v>
      </c>
      <c r="F8" s="20">
        <v>10.7</v>
      </c>
      <c r="G8" s="20">
        <f t="shared" ref="G8" si="4">F8*C8</f>
        <v>10.7</v>
      </c>
      <c r="H8" s="20">
        <v>12.55</v>
      </c>
      <c r="I8" s="20">
        <f t="shared" ref="I8" si="5">H8*C8</f>
        <v>12.55</v>
      </c>
      <c r="J8" s="4"/>
    </row>
    <row r="9" spans="2:10" ht="15" thickBot="1" x14ac:dyDescent="0.3">
      <c r="B9" s="4" t="s">
        <v>12</v>
      </c>
      <c r="C9" s="5"/>
      <c r="D9" s="20">
        <v>0</v>
      </c>
      <c r="E9" s="20">
        <f t="shared" si="0"/>
        <v>0</v>
      </c>
      <c r="F9" s="20">
        <v>0</v>
      </c>
      <c r="G9" s="20">
        <f t="shared" si="1"/>
        <v>0</v>
      </c>
      <c r="H9" s="20">
        <v>0</v>
      </c>
      <c r="I9" s="20">
        <f t="shared" si="2"/>
        <v>0</v>
      </c>
      <c r="J9" s="4"/>
    </row>
    <row r="10" spans="2:10" ht="15" thickBot="1" x14ac:dyDescent="0.3">
      <c r="B10" s="19" t="s">
        <v>13</v>
      </c>
      <c r="C10" s="5">
        <v>5</v>
      </c>
      <c r="D10" s="20">
        <v>9.85</v>
      </c>
      <c r="E10" s="20">
        <f t="shared" si="0"/>
        <v>49.25</v>
      </c>
      <c r="F10" s="20">
        <v>9.75</v>
      </c>
      <c r="G10" s="20">
        <f t="shared" si="1"/>
        <v>48.75</v>
      </c>
      <c r="H10" s="20">
        <v>14.5</v>
      </c>
      <c r="I10" s="20">
        <f t="shared" si="2"/>
        <v>72.5</v>
      </c>
      <c r="J10" s="4"/>
    </row>
    <row r="11" spans="2:10" ht="15" thickBot="1" x14ac:dyDescent="0.3">
      <c r="B11" s="19" t="s">
        <v>14</v>
      </c>
      <c r="C11" s="5">
        <v>10</v>
      </c>
      <c r="D11" s="20">
        <v>2.29</v>
      </c>
      <c r="E11" s="20">
        <f t="shared" si="0"/>
        <v>22.9</v>
      </c>
      <c r="F11" s="20">
        <v>1.85</v>
      </c>
      <c r="G11" s="20">
        <f t="shared" si="1"/>
        <v>18.5</v>
      </c>
      <c r="H11" s="20">
        <v>2.25</v>
      </c>
      <c r="I11" s="20">
        <f t="shared" si="2"/>
        <v>22.5</v>
      </c>
      <c r="J11" s="4"/>
    </row>
    <row r="12" spans="2:10" ht="15" thickBot="1" x14ac:dyDescent="0.3">
      <c r="B12" s="4" t="s">
        <v>15</v>
      </c>
      <c r="C12" s="5"/>
      <c r="D12" s="20">
        <v>0</v>
      </c>
      <c r="E12" s="20">
        <f t="shared" si="0"/>
        <v>0</v>
      </c>
      <c r="F12" s="20">
        <v>0</v>
      </c>
      <c r="G12" s="20">
        <f t="shared" si="1"/>
        <v>0</v>
      </c>
      <c r="H12" s="20">
        <v>0</v>
      </c>
      <c r="I12" s="20">
        <f t="shared" si="2"/>
        <v>0</v>
      </c>
      <c r="J12" s="4"/>
    </row>
    <row r="13" spans="2:10" ht="15" thickBot="1" x14ac:dyDescent="0.3">
      <c r="B13" s="19" t="s">
        <v>16</v>
      </c>
      <c r="C13" s="5">
        <v>2</v>
      </c>
      <c r="D13" s="20">
        <v>5.69</v>
      </c>
      <c r="E13" s="20">
        <f t="shared" si="0"/>
        <v>11.38</v>
      </c>
      <c r="F13" s="20">
        <v>4.5</v>
      </c>
      <c r="G13" s="20">
        <f t="shared" si="1"/>
        <v>9</v>
      </c>
      <c r="H13" s="20">
        <v>4.9000000000000004</v>
      </c>
      <c r="I13" s="20">
        <f t="shared" si="2"/>
        <v>9.8000000000000007</v>
      </c>
      <c r="J13" s="4"/>
    </row>
    <row r="14" spans="2:10" ht="15" thickBot="1" x14ac:dyDescent="0.3">
      <c r="B14" s="4" t="s">
        <v>17</v>
      </c>
      <c r="C14" s="5"/>
      <c r="D14" s="20">
        <v>0</v>
      </c>
      <c r="E14" s="20">
        <f t="shared" si="0"/>
        <v>0</v>
      </c>
      <c r="F14" s="20">
        <v>0</v>
      </c>
      <c r="G14" s="20">
        <f t="shared" si="1"/>
        <v>0</v>
      </c>
      <c r="H14" s="20">
        <v>0</v>
      </c>
      <c r="I14" s="20">
        <f t="shared" si="2"/>
        <v>0</v>
      </c>
      <c r="J14" s="4"/>
    </row>
    <row r="15" spans="2:10" ht="15" thickBot="1" x14ac:dyDescent="0.3">
      <c r="B15" s="4" t="s">
        <v>18</v>
      </c>
      <c r="C15" s="5"/>
      <c r="D15" s="20">
        <v>0</v>
      </c>
      <c r="E15" s="20">
        <f t="shared" si="0"/>
        <v>0</v>
      </c>
      <c r="F15" s="20">
        <v>0</v>
      </c>
      <c r="G15" s="20">
        <f t="shared" si="1"/>
        <v>0</v>
      </c>
      <c r="H15" s="20">
        <v>0</v>
      </c>
      <c r="I15" s="20">
        <f t="shared" si="2"/>
        <v>0</v>
      </c>
      <c r="J15" s="4"/>
    </row>
    <row r="16" spans="2:10" ht="15" thickBot="1" x14ac:dyDescent="0.3">
      <c r="B16" s="19" t="s">
        <v>19</v>
      </c>
      <c r="C16" s="5">
        <v>3</v>
      </c>
      <c r="D16" s="20">
        <v>24.99</v>
      </c>
      <c r="E16" s="20">
        <f t="shared" si="0"/>
        <v>74.97</v>
      </c>
      <c r="F16" s="20">
        <v>32</v>
      </c>
      <c r="G16" s="20">
        <f t="shared" si="1"/>
        <v>96</v>
      </c>
      <c r="H16" s="20">
        <v>33.200000000000003</v>
      </c>
      <c r="I16" s="20">
        <f t="shared" si="2"/>
        <v>99.600000000000009</v>
      </c>
      <c r="J16" s="4"/>
    </row>
    <row r="17" spans="2:10" ht="15" thickBot="1" x14ac:dyDescent="0.3">
      <c r="B17" s="19" t="s">
        <v>20</v>
      </c>
      <c r="C17" s="5">
        <v>10</v>
      </c>
      <c r="D17" s="20">
        <v>3.58</v>
      </c>
      <c r="E17" s="20">
        <f t="shared" si="0"/>
        <v>35.799999999999997</v>
      </c>
      <c r="F17" s="20">
        <v>2.5499999999999998</v>
      </c>
      <c r="G17" s="20">
        <f t="shared" si="1"/>
        <v>25.5</v>
      </c>
      <c r="H17" s="20">
        <v>3.2</v>
      </c>
      <c r="I17" s="20">
        <f t="shared" si="2"/>
        <v>32</v>
      </c>
      <c r="J17" s="4"/>
    </row>
    <row r="18" spans="2:10" ht="15" thickBot="1" x14ac:dyDescent="0.3">
      <c r="B18" s="4" t="s">
        <v>21</v>
      </c>
      <c r="C18" s="5"/>
      <c r="D18" s="20">
        <v>0</v>
      </c>
      <c r="E18" s="20">
        <f t="shared" si="0"/>
        <v>0</v>
      </c>
      <c r="F18" s="20">
        <v>0</v>
      </c>
      <c r="G18" s="20">
        <f t="shared" si="1"/>
        <v>0</v>
      </c>
      <c r="H18" s="20">
        <v>0</v>
      </c>
      <c r="I18" s="20">
        <f t="shared" si="2"/>
        <v>0</v>
      </c>
      <c r="J18" s="4"/>
    </row>
    <row r="19" spans="2:10" ht="15" thickBot="1" x14ac:dyDescent="0.3">
      <c r="B19" s="19" t="s">
        <v>22</v>
      </c>
      <c r="C19" s="5">
        <v>4</v>
      </c>
      <c r="D19" s="20">
        <v>14.6</v>
      </c>
      <c r="E19" s="20">
        <f t="shared" si="0"/>
        <v>58.4</v>
      </c>
      <c r="F19" s="20">
        <v>12.4</v>
      </c>
      <c r="G19" s="20">
        <f t="shared" si="1"/>
        <v>49.6</v>
      </c>
      <c r="H19" s="20">
        <v>10.9</v>
      </c>
      <c r="I19" s="20">
        <f t="shared" si="2"/>
        <v>43.6</v>
      </c>
      <c r="J19" s="4"/>
    </row>
    <row r="20" spans="2:10" ht="15" thickBot="1" x14ac:dyDescent="0.3">
      <c r="B20" s="69" t="s">
        <v>23</v>
      </c>
      <c r="C20" s="5"/>
      <c r="D20" s="20">
        <v>0</v>
      </c>
      <c r="E20" s="20">
        <f t="shared" si="0"/>
        <v>0</v>
      </c>
      <c r="F20" s="20">
        <v>0</v>
      </c>
      <c r="G20" s="20">
        <f t="shared" si="1"/>
        <v>0</v>
      </c>
      <c r="H20" s="20">
        <v>0</v>
      </c>
      <c r="I20" s="20">
        <f t="shared" si="2"/>
        <v>0</v>
      </c>
      <c r="J20" s="4"/>
    </row>
    <row r="21" spans="2:10" ht="15" thickBot="1" x14ac:dyDescent="0.3">
      <c r="B21" s="4" t="s">
        <v>24</v>
      </c>
      <c r="C21" s="5"/>
      <c r="D21" s="20">
        <v>0</v>
      </c>
      <c r="E21" s="20">
        <f t="shared" si="0"/>
        <v>0</v>
      </c>
      <c r="F21" s="20">
        <v>0</v>
      </c>
      <c r="G21" s="20">
        <f t="shared" si="1"/>
        <v>0</v>
      </c>
      <c r="H21" s="20">
        <v>0</v>
      </c>
      <c r="I21" s="20">
        <f t="shared" si="2"/>
        <v>0</v>
      </c>
      <c r="J21" s="4"/>
    </row>
    <row r="22" spans="2:10" ht="15" thickBot="1" x14ac:dyDescent="0.3">
      <c r="B22" s="4" t="s">
        <v>25</v>
      </c>
      <c r="C22" s="5"/>
      <c r="D22" s="20">
        <v>0</v>
      </c>
      <c r="E22" s="20">
        <f t="shared" si="0"/>
        <v>0</v>
      </c>
      <c r="F22" s="20">
        <v>0</v>
      </c>
      <c r="G22" s="20">
        <f t="shared" si="1"/>
        <v>0</v>
      </c>
      <c r="H22" s="20">
        <v>0</v>
      </c>
      <c r="I22" s="20">
        <f t="shared" si="2"/>
        <v>0</v>
      </c>
      <c r="J22" s="4"/>
    </row>
    <row r="23" spans="2:10" ht="15" thickBot="1" x14ac:dyDescent="0.3">
      <c r="B23" s="19" t="s">
        <v>26</v>
      </c>
      <c r="C23" s="5">
        <v>6</v>
      </c>
      <c r="D23" s="20">
        <v>100.79</v>
      </c>
      <c r="E23" s="20">
        <f t="shared" si="0"/>
        <v>604.74</v>
      </c>
      <c r="F23" s="20">
        <v>140</v>
      </c>
      <c r="G23" s="20">
        <f t="shared" si="1"/>
        <v>840</v>
      </c>
      <c r="H23" s="20">
        <v>138.25</v>
      </c>
      <c r="I23" s="20">
        <f t="shared" si="2"/>
        <v>829.5</v>
      </c>
      <c r="J23" s="4"/>
    </row>
    <row r="24" spans="2:10" ht="15" thickBot="1" x14ac:dyDescent="0.3">
      <c r="B24" s="19" t="s">
        <v>27</v>
      </c>
      <c r="C24" s="5">
        <v>3</v>
      </c>
      <c r="D24" s="20">
        <v>31</v>
      </c>
      <c r="E24" s="20">
        <f t="shared" si="0"/>
        <v>93</v>
      </c>
      <c r="F24" s="20">
        <v>32.9</v>
      </c>
      <c r="G24" s="20">
        <f t="shared" si="1"/>
        <v>98.699999999999989</v>
      </c>
      <c r="H24" s="20">
        <v>29.79</v>
      </c>
      <c r="I24" s="20">
        <f t="shared" si="2"/>
        <v>89.37</v>
      </c>
      <c r="J24" s="4"/>
    </row>
    <row r="25" spans="2:10" ht="15" thickBot="1" x14ac:dyDescent="0.3">
      <c r="B25" s="69" t="s">
        <v>28</v>
      </c>
      <c r="C25" s="5"/>
      <c r="D25" s="20">
        <v>0</v>
      </c>
      <c r="E25" s="20">
        <f t="shared" si="0"/>
        <v>0</v>
      </c>
      <c r="F25" s="20">
        <v>0</v>
      </c>
      <c r="G25" s="20">
        <f t="shared" si="1"/>
        <v>0</v>
      </c>
      <c r="H25" s="20">
        <v>0</v>
      </c>
      <c r="I25" s="20">
        <f t="shared" si="2"/>
        <v>0</v>
      </c>
      <c r="J25" s="4"/>
    </row>
    <row r="26" spans="2:10" ht="15" thickBot="1" x14ac:dyDescent="0.3">
      <c r="B26" s="69" t="s">
        <v>29</v>
      </c>
      <c r="C26" s="5"/>
      <c r="D26" s="20">
        <v>0</v>
      </c>
      <c r="E26" s="20">
        <f t="shared" si="0"/>
        <v>0</v>
      </c>
      <c r="F26" s="20">
        <v>0</v>
      </c>
      <c r="G26" s="20">
        <f t="shared" si="1"/>
        <v>0</v>
      </c>
      <c r="H26" s="20">
        <v>0</v>
      </c>
      <c r="I26" s="20">
        <f t="shared" si="2"/>
        <v>0</v>
      </c>
      <c r="J26" s="4"/>
    </row>
    <row r="27" spans="2:10" ht="15" thickBot="1" x14ac:dyDescent="0.3">
      <c r="B27" s="19" t="s">
        <v>30</v>
      </c>
      <c r="C27" s="5">
        <v>20</v>
      </c>
      <c r="D27" s="20">
        <v>8.6999999999999993</v>
      </c>
      <c r="E27" s="20">
        <f t="shared" si="0"/>
        <v>174</v>
      </c>
      <c r="F27" s="20">
        <v>7.9</v>
      </c>
      <c r="G27" s="20">
        <f t="shared" si="1"/>
        <v>158</v>
      </c>
      <c r="H27" s="20">
        <v>10.5</v>
      </c>
      <c r="I27" s="20">
        <f t="shared" si="2"/>
        <v>210</v>
      </c>
      <c r="J27" s="4"/>
    </row>
    <row r="28" spans="2:10" ht="15" thickBot="1" x14ac:dyDescent="0.3">
      <c r="B28" s="19" t="s">
        <v>31</v>
      </c>
      <c r="C28" s="5">
        <v>8</v>
      </c>
      <c r="D28" s="20">
        <v>10.89</v>
      </c>
      <c r="E28" s="20">
        <f t="shared" si="0"/>
        <v>87.12</v>
      </c>
      <c r="F28" s="20">
        <v>10</v>
      </c>
      <c r="G28" s="20">
        <f t="shared" si="1"/>
        <v>80</v>
      </c>
      <c r="H28" s="20">
        <v>9.9</v>
      </c>
      <c r="I28" s="20">
        <f t="shared" si="2"/>
        <v>79.2</v>
      </c>
      <c r="J28" s="4"/>
    </row>
    <row r="29" spans="2:10" ht="15" thickBot="1" x14ac:dyDescent="0.3">
      <c r="B29" s="4" t="s">
        <v>32</v>
      </c>
      <c r="C29" s="5"/>
      <c r="D29" s="20">
        <v>0</v>
      </c>
      <c r="E29" s="20">
        <f t="shared" si="0"/>
        <v>0</v>
      </c>
      <c r="F29" s="20">
        <v>0</v>
      </c>
      <c r="G29" s="20">
        <f t="shared" si="1"/>
        <v>0</v>
      </c>
      <c r="H29" s="20">
        <v>0</v>
      </c>
      <c r="I29" s="20">
        <f t="shared" si="2"/>
        <v>0</v>
      </c>
      <c r="J29" s="4"/>
    </row>
    <row r="30" spans="2:10" ht="15" thickBot="1" x14ac:dyDescent="0.3">
      <c r="B30" s="4" t="s">
        <v>33</v>
      </c>
      <c r="C30" s="5"/>
      <c r="D30" s="20">
        <v>0</v>
      </c>
      <c r="E30" s="20">
        <f t="shared" si="0"/>
        <v>0</v>
      </c>
      <c r="F30" s="20">
        <v>0</v>
      </c>
      <c r="G30" s="20">
        <f t="shared" si="1"/>
        <v>0</v>
      </c>
      <c r="H30" s="20">
        <v>0</v>
      </c>
      <c r="I30" s="20">
        <f t="shared" si="2"/>
        <v>0</v>
      </c>
      <c r="J30" s="4"/>
    </row>
    <row r="31" spans="2:10" ht="15" thickBot="1" x14ac:dyDescent="0.3">
      <c r="B31" s="19" t="s">
        <v>216</v>
      </c>
      <c r="C31" s="5">
        <v>1</v>
      </c>
      <c r="D31" s="20">
        <v>12.19</v>
      </c>
      <c r="E31" s="20">
        <f t="shared" ref="E31" si="6">D31*C31</f>
        <v>12.19</v>
      </c>
      <c r="F31" s="20">
        <v>14.85</v>
      </c>
      <c r="G31" s="20">
        <f t="shared" ref="G31" si="7">F31*C31</f>
        <v>14.85</v>
      </c>
      <c r="H31" s="20">
        <v>13.75</v>
      </c>
      <c r="I31" s="20">
        <f t="shared" ref="I31" si="8">H31*C31</f>
        <v>13.75</v>
      </c>
      <c r="J31" s="4"/>
    </row>
    <row r="32" spans="2:10" ht="15" thickBot="1" x14ac:dyDescent="0.3">
      <c r="B32" s="19" t="s">
        <v>34</v>
      </c>
      <c r="C32" s="5">
        <v>2</v>
      </c>
      <c r="D32" s="20">
        <v>24.99</v>
      </c>
      <c r="E32" s="20">
        <f t="shared" si="0"/>
        <v>49.98</v>
      </c>
      <c r="F32" s="20">
        <v>30</v>
      </c>
      <c r="G32" s="20">
        <f t="shared" si="1"/>
        <v>60</v>
      </c>
      <c r="H32" s="20">
        <v>29.9</v>
      </c>
      <c r="I32" s="20">
        <f t="shared" si="2"/>
        <v>59.8</v>
      </c>
      <c r="J32" s="4"/>
    </row>
    <row r="33" spans="2:10" ht="15" thickBot="1" x14ac:dyDescent="0.3">
      <c r="B33" s="4" t="s">
        <v>35</v>
      </c>
      <c r="C33" s="5"/>
      <c r="D33" s="20">
        <v>0</v>
      </c>
      <c r="E33" s="20">
        <f t="shared" si="0"/>
        <v>0</v>
      </c>
      <c r="F33" s="20">
        <v>0</v>
      </c>
      <c r="G33" s="20">
        <f t="shared" si="1"/>
        <v>0</v>
      </c>
      <c r="H33" s="20">
        <v>0</v>
      </c>
      <c r="I33" s="20">
        <f t="shared" si="2"/>
        <v>0</v>
      </c>
      <c r="J33" s="4"/>
    </row>
    <row r="34" spans="2:10" ht="15" thickBot="1" x14ac:dyDescent="0.3">
      <c r="B34" s="4" t="s">
        <v>36</v>
      </c>
      <c r="C34" s="5"/>
      <c r="D34" s="20">
        <v>0</v>
      </c>
      <c r="E34" s="20">
        <f t="shared" si="0"/>
        <v>0</v>
      </c>
      <c r="F34" s="20">
        <v>0</v>
      </c>
      <c r="G34" s="20">
        <f t="shared" si="1"/>
        <v>0</v>
      </c>
      <c r="H34" s="20">
        <v>0</v>
      </c>
      <c r="I34" s="20">
        <f t="shared" si="2"/>
        <v>0</v>
      </c>
      <c r="J34" s="4"/>
    </row>
    <row r="35" spans="2:10" ht="15" thickBot="1" x14ac:dyDescent="0.3">
      <c r="B35" s="69" t="s">
        <v>157</v>
      </c>
      <c r="C35" s="5"/>
      <c r="D35" s="20">
        <v>0</v>
      </c>
      <c r="E35" s="20">
        <f t="shared" si="0"/>
        <v>0</v>
      </c>
      <c r="F35" s="20">
        <v>0</v>
      </c>
      <c r="G35" s="20">
        <f t="shared" si="1"/>
        <v>0</v>
      </c>
      <c r="H35" s="20">
        <v>0</v>
      </c>
      <c r="I35" s="20">
        <f t="shared" si="2"/>
        <v>0</v>
      </c>
      <c r="J35" s="4"/>
    </row>
    <row r="36" spans="2:10" ht="15" thickBot="1" x14ac:dyDescent="0.3">
      <c r="B36" s="69" t="s">
        <v>158</v>
      </c>
      <c r="C36" s="5"/>
      <c r="D36" s="20">
        <v>0</v>
      </c>
      <c r="E36" s="20">
        <f t="shared" si="0"/>
        <v>0</v>
      </c>
      <c r="F36" s="20">
        <v>0</v>
      </c>
      <c r="G36" s="20">
        <f t="shared" si="1"/>
        <v>0</v>
      </c>
      <c r="H36" s="20">
        <v>0</v>
      </c>
      <c r="I36" s="20">
        <f t="shared" si="2"/>
        <v>0</v>
      </c>
      <c r="J36" s="4"/>
    </row>
    <row r="37" spans="2:10" ht="15" thickBot="1" x14ac:dyDescent="0.3">
      <c r="B37" s="19" t="s">
        <v>214</v>
      </c>
      <c r="C37" s="5">
        <v>6</v>
      </c>
      <c r="D37" s="20">
        <v>5.29</v>
      </c>
      <c r="E37" s="20">
        <f t="shared" si="0"/>
        <v>31.740000000000002</v>
      </c>
      <c r="F37" s="20">
        <v>6.58</v>
      </c>
      <c r="G37" s="20">
        <f t="shared" si="1"/>
        <v>39.480000000000004</v>
      </c>
      <c r="H37" s="20">
        <v>5.25</v>
      </c>
      <c r="I37" s="20">
        <f t="shared" si="2"/>
        <v>31.5</v>
      </c>
      <c r="J37" s="4"/>
    </row>
    <row r="38" spans="2:10" ht="15" thickBot="1" x14ac:dyDescent="0.3">
      <c r="B38" s="69" t="s">
        <v>37</v>
      </c>
      <c r="C38" s="5"/>
      <c r="D38" s="20">
        <v>0</v>
      </c>
      <c r="E38" s="20">
        <f t="shared" si="0"/>
        <v>0</v>
      </c>
      <c r="F38" s="20">
        <v>0</v>
      </c>
      <c r="G38" s="20">
        <f t="shared" si="1"/>
        <v>0</v>
      </c>
      <c r="H38" s="20">
        <v>0</v>
      </c>
      <c r="I38" s="20">
        <f t="shared" si="2"/>
        <v>0</v>
      </c>
      <c r="J38" s="4"/>
    </row>
    <row r="39" spans="2:10" ht="15.6" thickBot="1" x14ac:dyDescent="0.35">
      <c r="B39" s="42" t="s">
        <v>38</v>
      </c>
      <c r="C39" s="43"/>
      <c r="D39" s="46">
        <v>0</v>
      </c>
      <c r="E39" s="47"/>
      <c r="F39" s="46">
        <v>14.9</v>
      </c>
      <c r="G39" s="47"/>
      <c r="H39" s="46">
        <v>145.53</v>
      </c>
      <c r="I39" s="47"/>
      <c r="J39" s="39"/>
    </row>
    <row r="40" spans="2:10" ht="15" x14ac:dyDescent="0.3">
      <c r="B40" s="42" t="s">
        <v>39</v>
      </c>
      <c r="C40" s="43"/>
      <c r="D40" s="46">
        <f>SUM(E5:E38)</f>
        <v>1320.26</v>
      </c>
      <c r="E40" s="47"/>
      <c r="F40" s="46">
        <f>SUM(G5:G38)</f>
        <v>1549.08</v>
      </c>
      <c r="G40" s="47"/>
      <c r="H40" s="46">
        <f>SUM(I5:I38)</f>
        <v>1605.67</v>
      </c>
      <c r="I40" s="47"/>
      <c r="J40" s="40"/>
    </row>
    <row r="41" spans="2:10" ht="15" x14ac:dyDescent="0.3">
      <c r="B41" s="42" t="s">
        <v>40</v>
      </c>
      <c r="C41" s="43"/>
      <c r="D41" s="44">
        <f>D39+D40</f>
        <v>1320.26</v>
      </c>
      <c r="E41" s="45"/>
      <c r="F41" s="46">
        <f>F40+F39</f>
        <v>1563.98</v>
      </c>
      <c r="G41" s="47"/>
      <c r="H41" s="46">
        <f>H40+H39</f>
        <v>1751.2</v>
      </c>
      <c r="I41" s="47"/>
      <c r="J41" s="41"/>
    </row>
    <row r="42" spans="2:10" ht="15" x14ac:dyDescent="0.3">
      <c r="B42" s="6"/>
      <c r="C42" s="6"/>
    </row>
    <row r="43" spans="2:10" ht="15" x14ac:dyDescent="0.3">
      <c r="B43" s="7" t="s">
        <v>41</v>
      </c>
      <c r="C43" s="48"/>
      <c r="D43" s="49"/>
    </row>
    <row r="44" spans="2:10" ht="45" customHeight="1" x14ac:dyDescent="0.25">
      <c r="B44" s="27" t="s">
        <v>42</v>
      </c>
      <c r="C44" s="28"/>
      <c r="D44" s="29"/>
      <c r="E44" s="30"/>
      <c r="F44" s="30"/>
      <c r="G44" s="30"/>
      <c r="H44" s="30"/>
      <c r="I44" s="30"/>
      <c r="J44" s="31"/>
    </row>
    <row r="45" spans="2:10" ht="45" customHeight="1" x14ac:dyDescent="0.25">
      <c r="B45" s="32" t="s">
        <v>43</v>
      </c>
      <c r="C45" s="33"/>
      <c r="D45" s="34"/>
      <c r="E45" s="35"/>
      <c r="F45" s="35"/>
      <c r="G45" s="35"/>
      <c r="H45" s="35"/>
      <c r="I45" s="35"/>
      <c r="J45" s="36"/>
    </row>
  </sheetData>
  <mergeCells count="24">
    <mergeCell ref="D40:E40"/>
    <mergeCell ref="F40:G40"/>
    <mergeCell ref="H40:I40"/>
    <mergeCell ref="B2:J2"/>
    <mergeCell ref="B3:C3"/>
    <mergeCell ref="D3:E3"/>
    <mergeCell ref="F3:G3"/>
    <mergeCell ref="H3:I3"/>
    <mergeCell ref="B44:C44"/>
    <mergeCell ref="D44:J44"/>
    <mergeCell ref="B45:C45"/>
    <mergeCell ref="D45:J45"/>
    <mergeCell ref="J3:J4"/>
    <mergeCell ref="J39:J41"/>
    <mergeCell ref="B41:C41"/>
    <mergeCell ref="D41:E41"/>
    <mergeCell ref="F41:G41"/>
    <mergeCell ref="H41:I41"/>
    <mergeCell ref="C43:D43"/>
    <mergeCell ref="B39:C39"/>
    <mergeCell ref="D39:E39"/>
    <mergeCell ref="F39:G39"/>
    <mergeCell ref="H39:I39"/>
    <mergeCell ref="B40:C40"/>
  </mergeCells>
  <pageMargins left="0.51180555555555596" right="0.51180555555555596" top="0.78680555555555598" bottom="0.78680555555555598" header="0.31458333333333299" footer="0.31458333333333299"/>
  <pageSetup paperSize="9" scale="68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J21"/>
  <sheetViews>
    <sheetView showGridLines="0" workbookViewId="0">
      <selection activeCell="B2" sqref="B2:J21"/>
    </sheetView>
  </sheetViews>
  <sheetFormatPr defaultColWidth="9" defaultRowHeight="14.4" x14ac:dyDescent="0.25"/>
  <cols>
    <col min="2" max="2" width="23.44140625" customWidth="1"/>
    <col min="3" max="3" width="12" customWidth="1"/>
    <col min="4" max="4" width="14.6640625" customWidth="1"/>
    <col min="5" max="5" width="12" customWidth="1"/>
    <col min="6" max="6" width="14.6640625" customWidth="1"/>
    <col min="7" max="7" width="12" customWidth="1"/>
    <col min="8" max="8" width="14.6640625" customWidth="1"/>
    <col min="9" max="9" width="12" customWidth="1"/>
    <col min="10" max="10" width="30.77734375" customWidth="1"/>
  </cols>
  <sheetData>
    <row r="2" spans="2:10" ht="21" customHeight="1" x14ac:dyDescent="0.25">
      <c r="B2" s="50" t="s">
        <v>44</v>
      </c>
      <c r="C2" s="51"/>
      <c r="D2" s="51"/>
      <c r="E2" s="51"/>
      <c r="F2" s="51"/>
      <c r="G2" s="51"/>
      <c r="H2" s="51"/>
      <c r="I2" s="51"/>
      <c r="J2" s="52"/>
    </row>
    <row r="3" spans="2:10" ht="15" x14ac:dyDescent="0.3">
      <c r="B3" s="53"/>
      <c r="C3" s="54"/>
      <c r="D3" s="55" t="s">
        <v>1</v>
      </c>
      <c r="E3" s="56"/>
      <c r="F3" s="55" t="s">
        <v>2</v>
      </c>
      <c r="G3" s="57"/>
      <c r="H3" s="55" t="s">
        <v>3</v>
      </c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19" t="s">
        <v>45</v>
      </c>
      <c r="C5" s="5">
        <v>15</v>
      </c>
      <c r="D5" s="18">
        <v>4.99</v>
      </c>
      <c r="E5" s="18">
        <f>D5*C5</f>
        <v>74.850000000000009</v>
      </c>
      <c r="F5" s="18">
        <v>4.09</v>
      </c>
      <c r="G5" s="18">
        <f>F5*C5</f>
        <v>61.349999999999994</v>
      </c>
      <c r="H5" s="18">
        <v>4.29</v>
      </c>
      <c r="I5" s="18">
        <f>H5*C5</f>
        <v>64.349999999999994</v>
      </c>
      <c r="J5" s="4"/>
    </row>
    <row r="6" spans="2:10" x14ac:dyDescent="0.25">
      <c r="B6" s="19" t="s">
        <v>46</v>
      </c>
      <c r="C6" s="5">
        <v>1</v>
      </c>
      <c r="D6" s="18">
        <v>0</v>
      </c>
      <c r="E6" s="18">
        <f t="shared" ref="E6:E14" si="0">D6*C6</f>
        <v>0</v>
      </c>
      <c r="F6" s="18">
        <v>18.899999999999999</v>
      </c>
      <c r="G6" s="18">
        <f t="shared" ref="G6:G14" si="1">F6*C6</f>
        <v>18.899999999999999</v>
      </c>
      <c r="H6" s="18">
        <v>0</v>
      </c>
      <c r="I6" s="18">
        <f t="shared" ref="I6:I14" si="2">H6*C6</f>
        <v>0</v>
      </c>
      <c r="J6" s="4"/>
    </row>
    <row r="7" spans="2:10" x14ac:dyDescent="0.25">
      <c r="B7" s="69" t="s">
        <v>47</v>
      </c>
      <c r="C7" s="5"/>
      <c r="D7" s="18">
        <v>0</v>
      </c>
      <c r="E7" s="18">
        <f t="shared" si="0"/>
        <v>0</v>
      </c>
      <c r="F7" s="18">
        <v>0</v>
      </c>
      <c r="G7" s="18">
        <f t="shared" si="1"/>
        <v>0</v>
      </c>
      <c r="H7" s="18">
        <v>0</v>
      </c>
      <c r="I7" s="18">
        <f t="shared" si="2"/>
        <v>0</v>
      </c>
      <c r="J7" s="4"/>
    </row>
    <row r="8" spans="2:10" x14ac:dyDescent="0.25">
      <c r="B8" s="4" t="s">
        <v>48</v>
      </c>
      <c r="C8" s="5"/>
      <c r="D8" s="18">
        <v>0</v>
      </c>
      <c r="E8" s="18">
        <f t="shared" si="0"/>
        <v>0</v>
      </c>
      <c r="F8" s="18">
        <v>0</v>
      </c>
      <c r="G8" s="18">
        <f t="shared" si="1"/>
        <v>0</v>
      </c>
      <c r="H8" s="18">
        <v>0</v>
      </c>
      <c r="I8" s="18">
        <f t="shared" si="2"/>
        <v>0</v>
      </c>
      <c r="J8" s="4"/>
    </row>
    <row r="9" spans="2:10" x14ac:dyDescent="0.25">
      <c r="B9" s="19" t="s">
        <v>49</v>
      </c>
      <c r="C9" s="5">
        <v>20</v>
      </c>
      <c r="D9" s="18">
        <v>38</v>
      </c>
      <c r="E9" s="18">
        <f>D9*C9</f>
        <v>760</v>
      </c>
      <c r="F9" s="18">
        <v>32.9</v>
      </c>
      <c r="G9" s="18">
        <f t="shared" si="1"/>
        <v>658</v>
      </c>
      <c r="H9" s="18">
        <v>32.78</v>
      </c>
      <c r="I9" s="18">
        <f t="shared" si="2"/>
        <v>655.6</v>
      </c>
      <c r="J9" s="4"/>
    </row>
    <row r="10" spans="2:10" x14ac:dyDescent="0.25">
      <c r="B10" s="4" t="s">
        <v>50</v>
      </c>
      <c r="C10" s="5"/>
      <c r="D10" s="18">
        <v>0</v>
      </c>
      <c r="E10" s="18">
        <f t="shared" si="0"/>
        <v>0</v>
      </c>
      <c r="F10" s="18">
        <v>0</v>
      </c>
      <c r="G10" s="18">
        <f t="shared" si="1"/>
        <v>0</v>
      </c>
      <c r="H10" s="18">
        <v>0</v>
      </c>
      <c r="I10" s="18">
        <f t="shared" si="2"/>
        <v>0</v>
      </c>
      <c r="J10" s="4"/>
    </row>
    <row r="11" spans="2:10" x14ac:dyDescent="0.25">
      <c r="B11" s="4" t="s">
        <v>51</v>
      </c>
      <c r="C11" s="5"/>
      <c r="D11" s="18">
        <v>0</v>
      </c>
      <c r="E11" s="18">
        <f t="shared" si="0"/>
        <v>0</v>
      </c>
      <c r="F11" s="18">
        <v>0</v>
      </c>
      <c r="G11" s="18">
        <f t="shared" si="1"/>
        <v>0</v>
      </c>
      <c r="H11" s="18">
        <v>0</v>
      </c>
      <c r="I11" s="18">
        <f t="shared" si="2"/>
        <v>0</v>
      </c>
      <c r="J11" s="4"/>
    </row>
    <row r="12" spans="2:10" x14ac:dyDescent="0.25">
      <c r="B12" s="4" t="s">
        <v>52</v>
      </c>
      <c r="C12" s="5"/>
      <c r="D12" s="18">
        <v>0</v>
      </c>
      <c r="E12" s="18">
        <f t="shared" si="0"/>
        <v>0</v>
      </c>
      <c r="F12" s="18">
        <v>0</v>
      </c>
      <c r="G12" s="18">
        <f t="shared" si="1"/>
        <v>0</v>
      </c>
      <c r="H12" s="18">
        <v>0</v>
      </c>
      <c r="I12" s="18">
        <f t="shared" si="2"/>
        <v>0</v>
      </c>
      <c r="J12" s="4"/>
    </row>
    <row r="13" spans="2:10" x14ac:dyDescent="0.25">
      <c r="B13" s="19" t="s">
        <v>53</v>
      </c>
      <c r="C13" s="5">
        <v>4</v>
      </c>
      <c r="D13" s="18">
        <v>4.6900000000000004</v>
      </c>
      <c r="E13" s="18">
        <f t="shared" si="0"/>
        <v>18.760000000000002</v>
      </c>
      <c r="F13" s="18">
        <v>3.2</v>
      </c>
      <c r="G13" s="18">
        <f t="shared" si="1"/>
        <v>12.8</v>
      </c>
      <c r="H13" s="18">
        <v>3.29</v>
      </c>
      <c r="I13" s="18">
        <f t="shared" si="2"/>
        <v>13.16</v>
      </c>
      <c r="J13" s="4"/>
    </row>
    <row r="14" spans="2:10" x14ac:dyDescent="0.25">
      <c r="B14" s="4" t="s">
        <v>54</v>
      </c>
      <c r="C14" s="5"/>
      <c r="D14" s="18">
        <v>0</v>
      </c>
      <c r="E14" s="18">
        <f t="shared" si="0"/>
        <v>0</v>
      </c>
      <c r="F14" s="18">
        <v>0</v>
      </c>
      <c r="G14" s="18">
        <f t="shared" si="1"/>
        <v>0</v>
      </c>
      <c r="H14" s="18">
        <v>0</v>
      </c>
      <c r="I14" s="18">
        <f t="shared" si="2"/>
        <v>0</v>
      </c>
      <c r="J14" s="4"/>
    </row>
    <row r="15" spans="2:10" ht="15" x14ac:dyDescent="0.3">
      <c r="B15" s="42" t="s">
        <v>38</v>
      </c>
      <c r="C15" s="43"/>
      <c r="D15" s="62">
        <v>0</v>
      </c>
      <c r="E15" s="63"/>
      <c r="F15" s="62">
        <v>14.9</v>
      </c>
      <c r="G15" s="63"/>
      <c r="H15" s="46">
        <v>0</v>
      </c>
      <c r="I15" s="47"/>
      <c r="J15" s="39"/>
    </row>
    <row r="16" spans="2:10" ht="15" x14ac:dyDescent="0.3">
      <c r="B16" s="42" t="s">
        <v>39</v>
      </c>
      <c r="C16" s="43"/>
      <c r="D16" s="62">
        <f>SUM(E5:E14)</f>
        <v>853.61</v>
      </c>
      <c r="E16" s="63"/>
      <c r="F16" s="62">
        <f>SUM(G5:G14)</f>
        <v>751.05</v>
      </c>
      <c r="G16" s="63"/>
      <c r="H16" s="46">
        <f>SUM(I5:I13)</f>
        <v>733.11</v>
      </c>
      <c r="I16" s="47"/>
      <c r="J16" s="40"/>
    </row>
    <row r="17" spans="2:10" ht="15" x14ac:dyDescent="0.3">
      <c r="B17" s="42" t="s">
        <v>40</v>
      </c>
      <c r="C17" s="43"/>
      <c r="D17" s="58">
        <f>D15+D16</f>
        <v>853.61</v>
      </c>
      <c r="E17" s="59"/>
      <c r="F17" s="58">
        <f>F15+F16</f>
        <v>765.94999999999993</v>
      </c>
      <c r="G17" s="59"/>
      <c r="H17" s="60">
        <f>H15+H16</f>
        <v>733.11</v>
      </c>
      <c r="I17" s="61"/>
      <c r="J17" s="41"/>
    </row>
    <row r="18" spans="2:10" x14ac:dyDescent="0.25">
      <c r="B18" s="17"/>
      <c r="C18" s="17"/>
      <c r="D18" s="17"/>
      <c r="E18" s="17"/>
      <c r="F18" s="17"/>
      <c r="G18" s="17"/>
    </row>
    <row r="19" spans="2:10" ht="15" x14ac:dyDescent="0.3">
      <c r="B19" s="7" t="s">
        <v>41</v>
      </c>
      <c r="C19" s="48"/>
      <c r="D19" s="49"/>
    </row>
    <row r="20" spans="2:10" ht="45" customHeight="1" x14ac:dyDescent="0.25">
      <c r="B20" s="27" t="s">
        <v>42</v>
      </c>
      <c r="C20" s="28"/>
      <c r="D20" s="29"/>
      <c r="E20" s="30"/>
      <c r="F20" s="30"/>
      <c r="G20" s="30"/>
      <c r="H20" s="30"/>
      <c r="I20" s="30"/>
      <c r="J20" s="31"/>
    </row>
    <row r="21" spans="2:10" ht="45" customHeight="1" x14ac:dyDescent="0.25">
      <c r="B21" s="32" t="s">
        <v>43</v>
      </c>
      <c r="C21" s="33"/>
      <c r="D21" s="34"/>
      <c r="E21" s="35"/>
      <c r="F21" s="35"/>
      <c r="G21" s="35"/>
      <c r="H21" s="35"/>
      <c r="I21" s="35"/>
      <c r="J21" s="36"/>
    </row>
  </sheetData>
  <mergeCells count="24">
    <mergeCell ref="D16:E16"/>
    <mergeCell ref="F16:G16"/>
    <mergeCell ref="H16:I16"/>
    <mergeCell ref="B2:J2"/>
    <mergeCell ref="B3:C3"/>
    <mergeCell ref="D3:E3"/>
    <mergeCell ref="F3:G3"/>
    <mergeCell ref="H3:I3"/>
    <mergeCell ref="B20:C20"/>
    <mergeCell ref="D20:J20"/>
    <mergeCell ref="B21:C21"/>
    <mergeCell ref="D21:J21"/>
    <mergeCell ref="J3:J4"/>
    <mergeCell ref="J15:J17"/>
    <mergeCell ref="B17:C17"/>
    <mergeCell ref="D17:E17"/>
    <mergeCell ref="F17:G17"/>
    <mergeCell ref="H17:I17"/>
    <mergeCell ref="C19:D19"/>
    <mergeCell ref="B15:C15"/>
    <mergeCell ref="D15:E15"/>
    <mergeCell ref="F15:G15"/>
    <mergeCell ref="H15:I15"/>
    <mergeCell ref="B16:C16"/>
  </mergeCells>
  <pageMargins left="0.51180555555555596" right="0.51180555555555596" top="0.78680555555555598" bottom="0.78680555555555598" header="0.31458333333333299" footer="0.31458333333333299"/>
  <pageSetup paperSize="9" scale="8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J59"/>
  <sheetViews>
    <sheetView showGridLines="0" tabSelected="1" workbookViewId="0">
      <selection activeCell="L45" sqref="L45"/>
    </sheetView>
  </sheetViews>
  <sheetFormatPr defaultColWidth="9" defaultRowHeight="14.4" x14ac:dyDescent="0.25"/>
  <cols>
    <col min="2" max="2" width="33.6640625" customWidth="1"/>
    <col min="3" max="3" width="12" customWidth="1"/>
    <col min="4" max="4" width="14.6640625" customWidth="1"/>
    <col min="5" max="5" width="12" customWidth="1"/>
    <col min="6" max="6" width="14.6640625" customWidth="1"/>
    <col min="7" max="7" width="12" customWidth="1"/>
    <col min="8" max="8" width="14.6640625" customWidth="1"/>
    <col min="9" max="9" width="12" customWidth="1"/>
    <col min="10" max="10" width="30.77734375" customWidth="1"/>
  </cols>
  <sheetData>
    <row r="2" spans="2:10" ht="21" customHeight="1" x14ac:dyDescent="0.25">
      <c r="B2" s="50" t="s">
        <v>55</v>
      </c>
      <c r="C2" s="51"/>
      <c r="D2" s="51"/>
      <c r="E2" s="51"/>
      <c r="F2" s="51"/>
      <c r="G2" s="51"/>
      <c r="H2" s="51"/>
      <c r="I2" s="51"/>
      <c r="J2" s="52"/>
    </row>
    <row r="3" spans="2:10" ht="15" x14ac:dyDescent="0.3">
      <c r="B3" s="53"/>
      <c r="C3" s="54"/>
      <c r="D3" s="55" t="s">
        <v>1</v>
      </c>
      <c r="E3" s="56"/>
      <c r="F3" s="55" t="s">
        <v>56</v>
      </c>
      <c r="G3" s="57"/>
      <c r="H3" s="55" t="s">
        <v>57</v>
      </c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4" t="s">
        <v>58</v>
      </c>
      <c r="C5" s="5"/>
      <c r="D5" s="18">
        <v>0</v>
      </c>
      <c r="E5" s="18">
        <f t="shared" ref="E5:E52" si="0">D5*C5</f>
        <v>0</v>
      </c>
      <c r="F5" s="18">
        <v>0</v>
      </c>
      <c r="G5" s="18">
        <f t="shared" ref="G5:G52" si="1">F5*C5</f>
        <v>0</v>
      </c>
      <c r="H5" s="18">
        <v>0</v>
      </c>
      <c r="I5" s="18">
        <f t="shared" ref="I5:I52" si="2">H5*C5</f>
        <v>0</v>
      </c>
      <c r="J5" s="4"/>
    </row>
    <row r="6" spans="2:10" x14ac:dyDescent="0.25">
      <c r="B6" s="4" t="s">
        <v>59</v>
      </c>
      <c r="C6" s="5"/>
      <c r="D6" s="18">
        <v>0</v>
      </c>
      <c r="E6" s="18">
        <f t="shared" si="0"/>
        <v>0</v>
      </c>
      <c r="F6" s="18">
        <v>0</v>
      </c>
      <c r="G6" s="18">
        <f t="shared" si="1"/>
        <v>0</v>
      </c>
      <c r="H6" s="18">
        <v>0</v>
      </c>
      <c r="I6" s="18">
        <f t="shared" si="2"/>
        <v>0</v>
      </c>
      <c r="J6" s="4"/>
    </row>
    <row r="7" spans="2:10" x14ac:dyDescent="0.25">
      <c r="B7" s="69" t="s">
        <v>60</v>
      </c>
      <c r="C7" s="5"/>
      <c r="D7" s="18">
        <v>0</v>
      </c>
      <c r="E7" s="18">
        <f t="shared" si="0"/>
        <v>0</v>
      </c>
      <c r="F7" s="18">
        <v>0</v>
      </c>
      <c r="G7" s="18">
        <f t="shared" si="1"/>
        <v>0</v>
      </c>
      <c r="H7" s="18">
        <v>0</v>
      </c>
      <c r="I7" s="18">
        <f t="shared" si="2"/>
        <v>0</v>
      </c>
      <c r="J7" s="4"/>
    </row>
    <row r="8" spans="2:10" x14ac:dyDescent="0.25">
      <c r="B8" s="69" t="s">
        <v>61</v>
      </c>
      <c r="C8" s="5"/>
      <c r="D8" s="18">
        <v>0</v>
      </c>
      <c r="E8" s="18">
        <f t="shared" si="0"/>
        <v>0</v>
      </c>
      <c r="F8" s="18">
        <v>0</v>
      </c>
      <c r="G8" s="18">
        <f t="shared" si="1"/>
        <v>0</v>
      </c>
      <c r="H8" s="18">
        <v>0</v>
      </c>
      <c r="I8" s="18">
        <f t="shared" si="2"/>
        <v>0</v>
      </c>
      <c r="J8" s="4"/>
    </row>
    <row r="9" spans="2:10" x14ac:dyDescent="0.25">
      <c r="B9" s="4" t="s">
        <v>62</v>
      </c>
      <c r="C9" s="5"/>
      <c r="D9" s="18">
        <v>0</v>
      </c>
      <c r="E9" s="18">
        <f t="shared" si="0"/>
        <v>0</v>
      </c>
      <c r="F9" s="18">
        <v>0</v>
      </c>
      <c r="G9" s="18">
        <f t="shared" si="1"/>
        <v>0</v>
      </c>
      <c r="H9" s="18">
        <v>0</v>
      </c>
      <c r="I9" s="18">
        <f t="shared" si="2"/>
        <v>0</v>
      </c>
      <c r="J9" s="4"/>
    </row>
    <row r="10" spans="2:10" x14ac:dyDescent="0.25">
      <c r="B10" s="19" t="s">
        <v>221</v>
      </c>
      <c r="C10" s="5">
        <v>1</v>
      </c>
      <c r="D10" s="18">
        <v>0</v>
      </c>
      <c r="E10" s="18">
        <f t="shared" si="0"/>
        <v>0</v>
      </c>
      <c r="F10" s="18">
        <v>0</v>
      </c>
      <c r="G10" s="18">
        <f t="shared" si="1"/>
        <v>0</v>
      </c>
      <c r="H10" s="18">
        <v>39</v>
      </c>
      <c r="I10" s="18">
        <f t="shared" si="2"/>
        <v>39</v>
      </c>
      <c r="J10" s="4"/>
    </row>
    <row r="11" spans="2:10" x14ac:dyDescent="0.25">
      <c r="B11" s="69" t="s">
        <v>63</v>
      </c>
      <c r="C11" s="5"/>
      <c r="D11" s="18">
        <v>0</v>
      </c>
      <c r="E11" s="18">
        <f t="shared" si="0"/>
        <v>0</v>
      </c>
      <c r="F11" s="18">
        <v>0</v>
      </c>
      <c r="G11" s="18">
        <f t="shared" si="1"/>
        <v>0</v>
      </c>
      <c r="H11" s="18">
        <v>0</v>
      </c>
      <c r="I11" s="18">
        <f t="shared" si="2"/>
        <v>0</v>
      </c>
      <c r="J11" s="4"/>
    </row>
    <row r="12" spans="2:10" x14ac:dyDescent="0.25">
      <c r="B12" s="69" t="s">
        <v>64</v>
      </c>
      <c r="C12" s="5"/>
      <c r="D12" s="18">
        <v>0</v>
      </c>
      <c r="E12" s="18">
        <f t="shared" si="0"/>
        <v>0</v>
      </c>
      <c r="F12" s="18">
        <v>0</v>
      </c>
      <c r="G12" s="18">
        <f t="shared" si="1"/>
        <v>0</v>
      </c>
      <c r="H12" s="18">
        <v>0</v>
      </c>
      <c r="I12" s="18">
        <f t="shared" si="2"/>
        <v>0</v>
      </c>
      <c r="J12" s="4"/>
    </row>
    <row r="13" spans="2:10" x14ac:dyDescent="0.25">
      <c r="B13" s="69" t="s">
        <v>65</v>
      </c>
      <c r="C13" s="5"/>
      <c r="D13" s="18">
        <v>0</v>
      </c>
      <c r="E13" s="18">
        <f t="shared" si="0"/>
        <v>0</v>
      </c>
      <c r="F13" s="18">
        <v>0</v>
      </c>
      <c r="G13" s="18">
        <f t="shared" si="1"/>
        <v>0</v>
      </c>
      <c r="H13" s="18">
        <v>0</v>
      </c>
      <c r="I13" s="18">
        <f t="shared" si="2"/>
        <v>0</v>
      </c>
      <c r="J13" s="4"/>
    </row>
    <row r="14" spans="2:10" x14ac:dyDescent="0.25">
      <c r="B14" s="4" t="s">
        <v>66</v>
      </c>
      <c r="C14" s="5"/>
      <c r="D14" s="18">
        <v>0</v>
      </c>
      <c r="E14" s="18">
        <f t="shared" si="0"/>
        <v>0</v>
      </c>
      <c r="F14" s="18">
        <v>0</v>
      </c>
      <c r="G14" s="18">
        <f t="shared" si="1"/>
        <v>0</v>
      </c>
      <c r="H14" s="18">
        <v>0</v>
      </c>
      <c r="I14" s="18">
        <f t="shared" si="2"/>
        <v>0</v>
      </c>
      <c r="J14" s="4"/>
    </row>
    <row r="15" spans="2:10" x14ac:dyDescent="0.25">
      <c r="B15" s="4" t="s">
        <v>67</v>
      </c>
      <c r="C15" s="5"/>
      <c r="D15" s="18">
        <v>0</v>
      </c>
      <c r="E15" s="18">
        <f t="shared" si="0"/>
        <v>0</v>
      </c>
      <c r="F15" s="18">
        <v>0</v>
      </c>
      <c r="G15" s="18">
        <f t="shared" si="1"/>
        <v>0</v>
      </c>
      <c r="H15" s="18">
        <v>0</v>
      </c>
      <c r="I15" s="18">
        <f t="shared" si="2"/>
        <v>0</v>
      </c>
      <c r="J15" s="4"/>
    </row>
    <row r="16" spans="2:10" x14ac:dyDescent="0.25">
      <c r="B16" s="4" t="s">
        <v>68</v>
      </c>
      <c r="C16" s="5"/>
      <c r="D16" s="18">
        <v>0</v>
      </c>
      <c r="E16" s="18">
        <f t="shared" si="0"/>
        <v>0</v>
      </c>
      <c r="F16" s="18">
        <v>0</v>
      </c>
      <c r="G16" s="18">
        <f t="shared" si="1"/>
        <v>0</v>
      </c>
      <c r="H16" s="18">
        <v>0</v>
      </c>
      <c r="I16" s="18">
        <f t="shared" si="2"/>
        <v>0</v>
      </c>
      <c r="J16" s="4"/>
    </row>
    <row r="17" spans="2:10" x14ac:dyDescent="0.25">
      <c r="B17" s="19" t="s">
        <v>69</v>
      </c>
      <c r="C17" s="5">
        <v>20</v>
      </c>
      <c r="D17" s="18">
        <v>0</v>
      </c>
      <c r="E17" s="18">
        <f t="shared" si="0"/>
        <v>0</v>
      </c>
      <c r="F17" s="18">
        <v>0</v>
      </c>
      <c r="G17" s="18">
        <f t="shared" si="1"/>
        <v>0</v>
      </c>
      <c r="H17" s="18">
        <v>7.07</v>
      </c>
      <c r="I17" s="18">
        <f t="shared" si="2"/>
        <v>141.4</v>
      </c>
      <c r="J17" s="4"/>
    </row>
    <row r="18" spans="2:10" x14ac:dyDescent="0.25">
      <c r="B18" s="19" t="s">
        <v>70</v>
      </c>
      <c r="C18" s="5">
        <v>3</v>
      </c>
      <c r="D18" s="18">
        <v>0</v>
      </c>
      <c r="E18" s="18">
        <f t="shared" si="0"/>
        <v>0</v>
      </c>
      <c r="F18" s="18">
        <v>0</v>
      </c>
      <c r="G18" s="18">
        <f t="shared" si="1"/>
        <v>0</v>
      </c>
      <c r="H18" s="18">
        <v>2.74</v>
      </c>
      <c r="I18" s="18">
        <f t="shared" si="2"/>
        <v>8.2200000000000006</v>
      </c>
      <c r="J18" s="4"/>
    </row>
    <row r="19" spans="2:10" x14ac:dyDescent="0.25">
      <c r="B19" s="4" t="s">
        <v>71</v>
      </c>
      <c r="C19" s="5"/>
      <c r="D19" s="18">
        <v>0</v>
      </c>
      <c r="E19" s="18">
        <f t="shared" si="0"/>
        <v>0</v>
      </c>
      <c r="F19" s="18">
        <v>0</v>
      </c>
      <c r="G19" s="18">
        <f t="shared" si="1"/>
        <v>0</v>
      </c>
      <c r="H19" s="18">
        <v>0</v>
      </c>
      <c r="I19" s="18">
        <f t="shared" si="2"/>
        <v>0</v>
      </c>
      <c r="J19" s="4"/>
    </row>
    <row r="20" spans="2:10" x14ac:dyDescent="0.25">
      <c r="B20" s="69" t="s">
        <v>72</v>
      </c>
      <c r="C20" s="5"/>
      <c r="D20" s="18">
        <v>0</v>
      </c>
      <c r="E20" s="18">
        <f t="shared" si="0"/>
        <v>0</v>
      </c>
      <c r="F20" s="18">
        <v>0</v>
      </c>
      <c r="G20" s="18">
        <f t="shared" si="1"/>
        <v>0</v>
      </c>
      <c r="H20" s="18">
        <v>0</v>
      </c>
      <c r="I20" s="18">
        <f t="shared" si="2"/>
        <v>0</v>
      </c>
      <c r="J20" s="4"/>
    </row>
    <row r="21" spans="2:10" x14ac:dyDescent="0.25">
      <c r="B21" s="4" t="s">
        <v>73</v>
      </c>
      <c r="C21" s="5"/>
      <c r="D21" s="18">
        <v>0</v>
      </c>
      <c r="E21" s="18">
        <f t="shared" si="0"/>
        <v>0</v>
      </c>
      <c r="F21" s="18">
        <v>0</v>
      </c>
      <c r="G21" s="18">
        <f t="shared" si="1"/>
        <v>0</v>
      </c>
      <c r="H21" s="18">
        <v>0</v>
      </c>
      <c r="I21" s="18">
        <f t="shared" si="2"/>
        <v>0</v>
      </c>
      <c r="J21" s="4"/>
    </row>
    <row r="22" spans="2:10" x14ac:dyDescent="0.25">
      <c r="B22" s="4" t="s">
        <v>74</v>
      </c>
      <c r="C22" s="5"/>
      <c r="D22" s="18">
        <v>0</v>
      </c>
      <c r="E22" s="18">
        <f t="shared" si="0"/>
        <v>0</v>
      </c>
      <c r="F22" s="18">
        <v>0</v>
      </c>
      <c r="G22" s="18">
        <f t="shared" si="1"/>
        <v>0</v>
      </c>
      <c r="H22" s="18">
        <v>0</v>
      </c>
      <c r="I22" s="18">
        <f t="shared" si="2"/>
        <v>0</v>
      </c>
      <c r="J22" s="4"/>
    </row>
    <row r="23" spans="2:10" x14ac:dyDescent="0.25">
      <c r="B23" s="19" t="s">
        <v>75</v>
      </c>
      <c r="C23" s="5">
        <v>20</v>
      </c>
      <c r="D23" s="18">
        <v>5.99</v>
      </c>
      <c r="E23" s="18">
        <f t="shared" si="0"/>
        <v>119.80000000000001</v>
      </c>
      <c r="F23" s="18">
        <v>7.12</v>
      </c>
      <c r="G23" s="18">
        <f t="shared" si="1"/>
        <v>142.4</v>
      </c>
      <c r="H23" s="18">
        <v>5.14</v>
      </c>
      <c r="I23" s="18">
        <f t="shared" si="2"/>
        <v>102.8</v>
      </c>
      <c r="J23" s="4"/>
    </row>
    <row r="24" spans="2:10" x14ac:dyDescent="0.25">
      <c r="B24" s="69" t="s">
        <v>76</v>
      </c>
      <c r="C24" s="5"/>
      <c r="D24" s="18">
        <v>0</v>
      </c>
      <c r="E24" s="18">
        <f t="shared" si="0"/>
        <v>0</v>
      </c>
      <c r="F24" s="18">
        <v>0</v>
      </c>
      <c r="G24" s="18">
        <f t="shared" si="1"/>
        <v>0</v>
      </c>
      <c r="H24" s="18">
        <v>0</v>
      </c>
      <c r="I24" s="18">
        <f t="shared" si="2"/>
        <v>0</v>
      </c>
      <c r="J24" s="4"/>
    </row>
    <row r="25" spans="2:10" x14ac:dyDescent="0.25">
      <c r="B25" s="69" t="s">
        <v>98</v>
      </c>
      <c r="C25" s="5"/>
      <c r="D25" s="18">
        <v>0</v>
      </c>
      <c r="E25" s="18">
        <f t="shared" si="0"/>
        <v>0</v>
      </c>
      <c r="F25" s="18">
        <v>0</v>
      </c>
      <c r="G25" s="18">
        <f t="shared" si="1"/>
        <v>0</v>
      </c>
      <c r="H25" s="18">
        <v>0</v>
      </c>
      <c r="I25" s="18">
        <f t="shared" si="2"/>
        <v>0</v>
      </c>
      <c r="J25" s="4"/>
    </row>
    <row r="26" spans="2:10" x14ac:dyDescent="0.25">
      <c r="B26" s="4" t="s">
        <v>77</v>
      </c>
      <c r="C26" s="5"/>
      <c r="D26" s="18">
        <v>0</v>
      </c>
      <c r="E26" s="18">
        <f t="shared" si="0"/>
        <v>0</v>
      </c>
      <c r="F26" s="18">
        <v>0</v>
      </c>
      <c r="G26" s="18">
        <f t="shared" si="1"/>
        <v>0</v>
      </c>
      <c r="H26" s="18">
        <v>0</v>
      </c>
      <c r="I26" s="18">
        <f t="shared" si="2"/>
        <v>0</v>
      </c>
      <c r="J26" s="4"/>
    </row>
    <row r="27" spans="2:10" x14ac:dyDescent="0.25">
      <c r="B27" s="4" t="s">
        <v>78</v>
      </c>
      <c r="C27" s="5"/>
      <c r="D27" s="18">
        <v>0</v>
      </c>
      <c r="E27" s="18">
        <f t="shared" si="0"/>
        <v>0</v>
      </c>
      <c r="F27" s="18">
        <v>0</v>
      </c>
      <c r="G27" s="18">
        <f t="shared" si="1"/>
        <v>0</v>
      </c>
      <c r="H27" s="18">
        <v>0</v>
      </c>
      <c r="I27" s="18">
        <f t="shared" si="2"/>
        <v>0</v>
      </c>
      <c r="J27" s="4"/>
    </row>
    <row r="28" spans="2:10" ht="15" thickBot="1" x14ac:dyDescent="0.3">
      <c r="B28" s="4" t="s">
        <v>79</v>
      </c>
      <c r="C28" s="5"/>
      <c r="D28" s="18">
        <v>0</v>
      </c>
      <c r="E28" s="18">
        <f t="shared" si="0"/>
        <v>0</v>
      </c>
      <c r="F28" s="18">
        <v>0</v>
      </c>
      <c r="G28" s="18">
        <f t="shared" si="1"/>
        <v>0</v>
      </c>
      <c r="H28" s="18">
        <v>0</v>
      </c>
      <c r="I28" s="18">
        <f t="shared" si="2"/>
        <v>0</v>
      </c>
      <c r="J28" s="4"/>
    </row>
    <row r="29" spans="2:10" ht="15" thickBot="1" x14ac:dyDescent="0.3">
      <c r="B29" s="4" t="s">
        <v>80</v>
      </c>
      <c r="C29" s="5"/>
      <c r="D29" s="18">
        <v>0</v>
      </c>
      <c r="E29" s="18">
        <f t="shared" si="0"/>
        <v>0</v>
      </c>
      <c r="F29" s="18">
        <v>0</v>
      </c>
      <c r="G29" s="18">
        <f t="shared" si="1"/>
        <v>0</v>
      </c>
      <c r="H29" s="18">
        <v>0</v>
      </c>
      <c r="I29" s="18">
        <f t="shared" si="2"/>
        <v>0</v>
      </c>
      <c r="J29" s="4"/>
    </row>
    <row r="30" spans="2:10" ht="15" thickBot="1" x14ac:dyDescent="0.3">
      <c r="B30" s="71" t="s">
        <v>168</v>
      </c>
      <c r="C30" s="5"/>
      <c r="D30" s="18">
        <v>0</v>
      </c>
      <c r="E30" s="18">
        <f t="shared" si="0"/>
        <v>0</v>
      </c>
      <c r="F30" s="18">
        <v>0</v>
      </c>
      <c r="G30" s="18">
        <f t="shared" si="1"/>
        <v>0</v>
      </c>
      <c r="H30" s="18">
        <v>0</v>
      </c>
      <c r="I30" s="18">
        <f t="shared" si="2"/>
        <v>0</v>
      </c>
      <c r="J30" s="4"/>
    </row>
    <row r="31" spans="2:10" ht="15" thickBot="1" x14ac:dyDescent="0.3">
      <c r="B31" s="71" t="s">
        <v>95</v>
      </c>
      <c r="C31" s="5"/>
      <c r="D31" s="18">
        <v>0</v>
      </c>
      <c r="E31" s="18">
        <f t="shared" si="0"/>
        <v>0</v>
      </c>
      <c r="F31" s="18">
        <v>0</v>
      </c>
      <c r="G31" s="18">
        <f t="shared" si="1"/>
        <v>0</v>
      </c>
      <c r="H31" s="18">
        <v>0</v>
      </c>
      <c r="I31" s="18">
        <f t="shared" si="2"/>
        <v>0</v>
      </c>
      <c r="J31" s="4"/>
    </row>
    <row r="32" spans="2:10" x14ac:dyDescent="0.25">
      <c r="B32" s="71" t="s">
        <v>99</v>
      </c>
      <c r="C32" s="5"/>
      <c r="D32" s="18">
        <v>0</v>
      </c>
      <c r="E32" s="18">
        <f t="shared" si="0"/>
        <v>0</v>
      </c>
      <c r="F32" s="18">
        <v>0</v>
      </c>
      <c r="G32" s="18">
        <f t="shared" si="1"/>
        <v>0</v>
      </c>
      <c r="H32" s="18">
        <v>0</v>
      </c>
      <c r="I32" s="18">
        <f t="shared" si="2"/>
        <v>0</v>
      </c>
      <c r="J32" s="4"/>
    </row>
    <row r="33" spans="2:10" x14ac:dyDescent="0.25">
      <c r="B33" s="71" t="s">
        <v>96</v>
      </c>
      <c r="C33" s="5"/>
      <c r="D33" s="18">
        <v>0</v>
      </c>
      <c r="E33" s="18">
        <f t="shared" si="0"/>
        <v>0</v>
      </c>
      <c r="F33" s="18">
        <v>0</v>
      </c>
      <c r="G33" s="18">
        <f t="shared" si="1"/>
        <v>0</v>
      </c>
      <c r="H33" s="18">
        <v>0</v>
      </c>
      <c r="I33" s="18">
        <f t="shared" si="2"/>
        <v>0</v>
      </c>
      <c r="J33" s="4"/>
    </row>
    <row r="34" spans="2:10" x14ac:dyDescent="0.25">
      <c r="B34" s="71" t="s">
        <v>160</v>
      </c>
      <c r="C34" s="5"/>
      <c r="D34" s="18">
        <v>0</v>
      </c>
      <c r="E34" s="18">
        <f t="shared" si="0"/>
        <v>0</v>
      </c>
      <c r="F34" s="18">
        <v>0</v>
      </c>
      <c r="G34" s="18">
        <f t="shared" si="1"/>
        <v>0</v>
      </c>
      <c r="H34" s="18">
        <v>0</v>
      </c>
      <c r="I34" s="18">
        <f t="shared" si="2"/>
        <v>0</v>
      </c>
      <c r="J34" s="4"/>
    </row>
    <row r="35" spans="2:10" x14ac:dyDescent="0.25">
      <c r="B35" s="71" t="s">
        <v>81</v>
      </c>
      <c r="C35" s="5"/>
      <c r="D35" s="18">
        <v>0</v>
      </c>
      <c r="E35" s="18">
        <f t="shared" si="0"/>
        <v>0</v>
      </c>
      <c r="F35" s="18">
        <v>0</v>
      </c>
      <c r="G35" s="18">
        <f t="shared" si="1"/>
        <v>0</v>
      </c>
      <c r="H35" s="18">
        <v>0</v>
      </c>
      <c r="I35" s="18">
        <f t="shared" si="2"/>
        <v>0</v>
      </c>
      <c r="J35" s="4"/>
    </row>
    <row r="36" spans="2:10" x14ac:dyDescent="0.25">
      <c r="B36" s="71" t="s">
        <v>159</v>
      </c>
      <c r="C36" s="5"/>
      <c r="D36" s="18">
        <v>0</v>
      </c>
      <c r="E36" s="18">
        <f t="shared" si="0"/>
        <v>0</v>
      </c>
      <c r="F36" s="18">
        <v>0</v>
      </c>
      <c r="G36" s="18">
        <f t="shared" si="1"/>
        <v>0</v>
      </c>
      <c r="H36" s="18">
        <v>0</v>
      </c>
      <c r="I36" s="18">
        <f t="shared" si="2"/>
        <v>0</v>
      </c>
      <c r="J36" s="4"/>
    </row>
    <row r="37" spans="2:10" x14ac:dyDescent="0.25">
      <c r="B37" s="4" t="s">
        <v>82</v>
      </c>
      <c r="C37" s="5"/>
      <c r="D37" s="18">
        <v>0</v>
      </c>
      <c r="E37" s="18">
        <f t="shared" ref="E37" si="3">D37*C37</f>
        <v>0</v>
      </c>
      <c r="F37" s="18">
        <v>0</v>
      </c>
      <c r="G37" s="18">
        <f t="shared" ref="G37" si="4">F37*C37</f>
        <v>0</v>
      </c>
      <c r="H37" s="18">
        <v>0</v>
      </c>
      <c r="I37" s="18">
        <f t="shared" si="2"/>
        <v>0</v>
      </c>
      <c r="J37" s="4"/>
    </row>
    <row r="38" spans="2:10" x14ac:dyDescent="0.25">
      <c r="B38" s="4" t="s">
        <v>83</v>
      </c>
      <c r="C38" s="5"/>
      <c r="D38" s="18">
        <v>0</v>
      </c>
      <c r="E38" s="18">
        <f t="shared" si="0"/>
        <v>0</v>
      </c>
      <c r="F38" s="18">
        <v>0</v>
      </c>
      <c r="G38" s="18">
        <f t="shared" si="1"/>
        <v>0</v>
      </c>
      <c r="H38" s="18">
        <v>0</v>
      </c>
      <c r="I38" s="18">
        <f t="shared" si="2"/>
        <v>0</v>
      </c>
      <c r="J38" s="4"/>
    </row>
    <row r="39" spans="2:10" ht="15" thickBot="1" x14ac:dyDescent="0.3">
      <c r="B39" s="71" t="s">
        <v>97</v>
      </c>
      <c r="C39" s="5"/>
      <c r="D39" s="18">
        <v>0</v>
      </c>
      <c r="E39" s="18">
        <f t="shared" si="0"/>
        <v>0</v>
      </c>
      <c r="F39" s="18">
        <v>0</v>
      </c>
      <c r="G39" s="18">
        <f t="shared" si="1"/>
        <v>0</v>
      </c>
      <c r="H39" s="18">
        <v>0</v>
      </c>
      <c r="I39" s="18">
        <f t="shared" si="2"/>
        <v>0</v>
      </c>
      <c r="J39" s="4"/>
    </row>
    <row r="40" spans="2:10" ht="15" thickBot="1" x14ac:dyDescent="0.3">
      <c r="B40" s="19" t="s">
        <v>222</v>
      </c>
      <c r="C40" s="5">
        <v>1</v>
      </c>
      <c r="D40" s="18">
        <v>0</v>
      </c>
      <c r="E40" s="18">
        <f t="shared" ref="E40" si="5">D40*C40</f>
        <v>0</v>
      </c>
      <c r="F40" s="18">
        <v>0</v>
      </c>
      <c r="G40" s="18">
        <f t="shared" ref="G40" si="6">F40*C40</f>
        <v>0</v>
      </c>
      <c r="H40" s="18">
        <v>86.9</v>
      </c>
      <c r="I40" s="18">
        <f t="shared" si="2"/>
        <v>86.9</v>
      </c>
      <c r="J40" s="4"/>
    </row>
    <row r="41" spans="2:10" ht="15" thickBot="1" x14ac:dyDescent="0.3">
      <c r="B41" s="4" t="s">
        <v>84</v>
      </c>
      <c r="C41" s="5"/>
      <c r="D41" s="18">
        <v>0</v>
      </c>
      <c r="E41" s="18">
        <f t="shared" si="0"/>
        <v>0</v>
      </c>
      <c r="F41" s="18">
        <v>0</v>
      </c>
      <c r="G41" s="18">
        <f t="shared" si="1"/>
        <v>0</v>
      </c>
      <c r="H41" s="18">
        <v>0</v>
      </c>
      <c r="I41" s="18">
        <f t="shared" si="2"/>
        <v>0</v>
      </c>
      <c r="J41" s="4"/>
    </row>
    <row r="42" spans="2:10" ht="15" thickBot="1" x14ac:dyDescent="0.3">
      <c r="B42" s="4" t="s">
        <v>85</v>
      </c>
      <c r="C42" s="5"/>
      <c r="D42" s="18">
        <v>0</v>
      </c>
      <c r="E42" s="18">
        <f t="shared" si="0"/>
        <v>0</v>
      </c>
      <c r="F42" s="18">
        <v>0</v>
      </c>
      <c r="G42" s="18">
        <f t="shared" si="1"/>
        <v>0</v>
      </c>
      <c r="H42" s="18">
        <v>0</v>
      </c>
      <c r="I42" s="18">
        <f t="shared" si="2"/>
        <v>0</v>
      </c>
      <c r="J42" s="4"/>
    </row>
    <row r="43" spans="2:10" ht="15" thickBot="1" x14ac:dyDescent="0.3">
      <c r="B43" s="4" t="s">
        <v>86</v>
      </c>
      <c r="C43" s="5"/>
      <c r="D43" s="18">
        <v>0</v>
      </c>
      <c r="E43" s="18">
        <f t="shared" si="0"/>
        <v>0</v>
      </c>
      <c r="F43" s="18">
        <v>0</v>
      </c>
      <c r="G43" s="18">
        <f t="shared" si="1"/>
        <v>0</v>
      </c>
      <c r="H43" s="18">
        <v>0</v>
      </c>
      <c r="I43" s="18">
        <f t="shared" si="2"/>
        <v>0</v>
      </c>
      <c r="J43" s="4"/>
    </row>
    <row r="44" spans="2:10" x14ac:dyDescent="0.25">
      <c r="B44" s="4" t="s">
        <v>87</v>
      </c>
      <c r="C44" s="5"/>
      <c r="D44" s="18">
        <v>0</v>
      </c>
      <c r="E44" s="18">
        <f t="shared" si="0"/>
        <v>0</v>
      </c>
      <c r="F44" s="18">
        <v>0</v>
      </c>
      <c r="G44" s="18">
        <f t="shared" si="1"/>
        <v>0</v>
      </c>
      <c r="H44" s="18">
        <v>0</v>
      </c>
      <c r="I44" s="18">
        <f t="shared" si="2"/>
        <v>0</v>
      </c>
      <c r="J44" s="4"/>
    </row>
    <row r="45" spans="2:10" ht="15" thickBot="1" x14ac:dyDescent="0.3">
      <c r="B45" s="4" t="s">
        <v>88</v>
      </c>
      <c r="C45" s="5"/>
      <c r="D45" s="18">
        <v>0</v>
      </c>
      <c r="E45" s="18">
        <f t="shared" si="0"/>
        <v>0</v>
      </c>
      <c r="F45" s="18">
        <v>0</v>
      </c>
      <c r="G45" s="18">
        <f t="shared" si="1"/>
        <v>0</v>
      </c>
      <c r="H45" s="18">
        <v>0</v>
      </c>
      <c r="I45" s="18">
        <f t="shared" si="2"/>
        <v>0</v>
      </c>
      <c r="J45" s="4"/>
    </row>
    <row r="46" spans="2:10" ht="15" thickBot="1" x14ac:dyDescent="0.3">
      <c r="B46" s="19" t="s">
        <v>89</v>
      </c>
      <c r="C46" s="5">
        <v>3</v>
      </c>
      <c r="D46" s="18">
        <v>99.9</v>
      </c>
      <c r="E46" s="18">
        <f t="shared" si="0"/>
        <v>299.70000000000005</v>
      </c>
      <c r="F46" s="18">
        <v>110</v>
      </c>
      <c r="G46" s="18">
        <f t="shared" si="1"/>
        <v>330</v>
      </c>
      <c r="H46" s="18">
        <v>92.3</v>
      </c>
      <c r="I46" s="18">
        <f t="shared" si="2"/>
        <v>276.89999999999998</v>
      </c>
      <c r="J46" s="4"/>
    </row>
    <row r="47" spans="2:10" ht="15" thickBot="1" x14ac:dyDescent="0.3">
      <c r="B47" s="4" t="s">
        <v>90</v>
      </c>
      <c r="C47" s="5"/>
      <c r="D47" s="18">
        <v>0</v>
      </c>
      <c r="E47" s="18">
        <f t="shared" si="0"/>
        <v>0</v>
      </c>
      <c r="F47" s="18">
        <v>0</v>
      </c>
      <c r="G47" s="18">
        <f t="shared" si="1"/>
        <v>0</v>
      </c>
      <c r="H47" s="18">
        <v>0</v>
      </c>
      <c r="I47" s="18">
        <f t="shared" si="2"/>
        <v>0</v>
      </c>
      <c r="J47" s="4"/>
    </row>
    <row r="48" spans="2:10" ht="15" thickBot="1" x14ac:dyDescent="0.3">
      <c r="B48" s="4" t="s">
        <v>91</v>
      </c>
      <c r="C48" s="5"/>
      <c r="D48" s="18">
        <v>0</v>
      </c>
      <c r="E48" s="18">
        <f t="shared" si="0"/>
        <v>0</v>
      </c>
      <c r="F48" s="18">
        <v>0</v>
      </c>
      <c r="G48" s="18">
        <f t="shared" si="1"/>
        <v>0</v>
      </c>
      <c r="H48" s="18">
        <v>0</v>
      </c>
      <c r="I48" s="18">
        <f t="shared" si="2"/>
        <v>0</v>
      </c>
      <c r="J48" s="4"/>
    </row>
    <row r="49" spans="2:10" ht="15" thickBot="1" x14ac:dyDescent="0.3">
      <c r="B49" s="4" t="s">
        <v>92</v>
      </c>
      <c r="C49" s="5"/>
      <c r="D49" s="18">
        <v>0</v>
      </c>
      <c r="E49" s="18">
        <f t="shared" si="0"/>
        <v>0</v>
      </c>
      <c r="F49" s="18">
        <v>0</v>
      </c>
      <c r="G49" s="18">
        <f t="shared" si="1"/>
        <v>0</v>
      </c>
      <c r="H49" s="18">
        <v>0</v>
      </c>
      <c r="I49" s="18">
        <f t="shared" si="2"/>
        <v>0</v>
      </c>
      <c r="J49" s="4"/>
    </row>
    <row r="50" spans="2:10" ht="15" thickBot="1" x14ac:dyDescent="0.3">
      <c r="B50" s="4" t="s">
        <v>93</v>
      </c>
      <c r="C50" s="5"/>
      <c r="D50" s="18">
        <v>0</v>
      </c>
      <c r="E50" s="18">
        <f t="shared" si="0"/>
        <v>0</v>
      </c>
      <c r="F50" s="18">
        <v>0</v>
      </c>
      <c r="G50" s="18">
        <f t="shared" si="1"/>
        <v>0</v>
      </c>
      <c r="H50" s="18">
        <v>0</v>
      </c>
      <c r="I50" s="18">
        <f t="shared" si="2"/>
        <v>0</v>
      </c>
      <c r="J50" s="4"/>
    </row>
    <row r="51" spans="2:10" ht="15" thickBot="1" x14ac:dyDescent="0.3">
      <c r="B51" s="4" t="s">
        <v>94</v>
      </c>
      <c r="C51" s="5"/>
      <c r="D51" s="18">
        <v>0</v>
      </c>
      <c r="E51" s="18">
        <f t="shared" ref="E51" si="7">D51*C51</f>
        <v>0</v>
      </c>
      <c r="F51" s="18">
        <v>0</v>
      </c>
      <c r="G51" s="18">
        <f t="shared" ref="G51" si="8">F51*C51</f>
        <v>0</v>
      </c>
      <c r="H51" s="18">
        <v>0</v>
      </c>
      <c r="I51" s="18">
        <f t="shared" ref="I51" si="9">H51*C51</f>
        <v>0</v>
      </c>
      <c r="J51" s="4"/>
    </row>
    <row r="52" spans="2:10" ht="15" thickBot="1" x14ac:dyDescent="0.3">
      <c r="B52" s="4" t="s">
        <v>220</v>
      </c>
      <c r="C52" s="5">
        <v>5</v>
      </c>
      <c r="D52" s="18">
        <v>0</v>
      </c>
      <c r="E52" s="18">
        <f t="shared" si="0"/>
        <v>0</v>
      </c>
      <c r="F52" s="18">
        <v>0</v>
      </c>
      <c r="G52" s="18">
        <f t="shared" si="1"/>
        <v>0</v>
      </c>
      <c r="H52" s="18">
        <v>0</v>
      </c>
      <c r="I52" s="18">
        <f t="shared" si="2"/>
        <v>0</v>
      </c>
      <c r="J52" s="4"/>
    </row>
    <row r="53" spans="2:10" ht="15.6" thickBot="1" x14ac:dyDescent="0.35">
      <c r="B53" s="42" t="s">
        <v>38</v>
      </c>
      <c r="C53" s="43"/>
      <c r="D53" s="62">
        <v>0</v>
      </c>
      <c r="E53" s="63"/>
      <c r="F53" s="62">
        <v>19</v>
      </c>
      <c r="G53" s="63"/>
      <c r="H53" s="46">
        <v>23.09</v>
      </c>
      <c r="I53" s="47"/>
      <c r="J53" s="39"/>
    </row>
    <row r="54" spans="2:10" ht="15" x14ac:dyDescent="0.3">
      <c r="B54" s="42" t="s">
        <v>39</v>
      </c>
      <c r="C54" s="43"/>
      <c r="D54" s="62">
        <f>SUM(E5:E52)</f>
        <v>419.50000000000006</v>
      </c>
      <c r="E54" s="63"/>
      <c r="F54" s="62">
        <f>SUM(G5:G52)</f>
        <v>472.4</v>
      </c>
      <c r="G54" s="63"/>
      <c r="H54" s="46">
        <f>SUM(I5:I52)</f>
        <v>655.22</v>
      </c>
      <c r="I54" s="47"/>
      <c r="J54" s="40"/>
    </row>
    <row r="55" spans="2:10" ht="15" x14ac:dyDescent="0.3">
      <c r="B55" s="42" t="s">
        <v>40</v>
      </c>
      <c r="C55" s="43"/>
      <c r="D55" s="64">
        <f>D53+D54</f>
        <v>419.50000000000006</v>
      </c>
      <c r="E55" s="49"/>
      <c r="F55" s="64">
        <f>F53+F54</f>
        <v>491.4</v>
      </c>
      <c r="G55" s="49"/>
      <c r="H55" s="60">
        <f>H53+H54</f>
        <v>678.31000000000006</v>
      </c>
      <c r="I55" s="61"/>
      <c r="J55" s="41"/>
    </row>
    <row r="56" spans="2:10" ht="15" x14ac:dyDescent="0.3">
      <c r="B56" s="6"/>
      <c r="C56" s="6"/>
      <c r="D56" s="6"/>
      <c r="E56" s="6"/>
      <c r="F56" s="6"/>
      <c r="G56" s="6"/>
    </row>
    <row r="57" spans="2:10" ht="15" x14ac:dyDescent="0.3">
      <c r="B57" s="7" t="s">
        <v>41</v>
      </c>
      <c r="C57" s="48"/>
      <c r="D57" s="49"/>
    </row>
    <row r="58" spans="2:10" x14ac:dyDescent="0.25">
      <c r="B58" s="27" t="s">
        <v>42</v>
      </c>
      <c r="C58" s="28"/>
      <c r="D58" s="29"/>
      <c r="E58" s="30"/>
      <c r="F58" s="30"/>
      <c r="G58" s="30"/>
      <c r="H58" s="30"/>
      <c r="I58" s="30"/>
      <c r="J58" s="31"/>
    </row>
    <row r="59" spans="2:10" x14ac:dyDescent="0.25">
      <c r="B59" s="32" t="s">
        <v>43</v>
      </c>
      <c r="C59" s="33"/>
      <c r="D59" s="34"/>
      <c r="E59" s="35"/>
      <c r="F59" s="35"/>
      <c r="G59" s="35"/>
      <c r="H59" s="35"/>
      <c r="I59" s="35"/>
      <c r="J59" s="36"/>
    </row>
  </sheetData>
  <sortState xmlns:xlrd2="http://schemas.microsoft.com/office/spreadsheetml/2017/richdata2" ref="B5:I52">
    <sortCondition ref="B5:B52"/>
  </sortState>
  <mergeCells count="24">
    <mergeCell ref="D54:E54"/>
    <mergeCell ref="F54:G54"/>
    <mergeCell ref="H54:I54"/>
    <mergeCell ref="B2:J2"/>
    <mergeCell ref="B3:C3"/>
    <mergeCell ref="D3:E3"/>
    <mergeCell ref="F3:G3"/>
    <mergeCell ref="H3:I3"/>
    <mergeCell ref="B58:C58"/>
    <mergeCell ref="D58:J58"/>
    <mergeCell ref="B59:C59"/>
    <mergeCell ref="D59:J59"/>
    <mergeCell ref="J3:J4"/>
    <mergeCell ref="J53:J55"/>
    <mergeCell ref="B55:C55"/>
    <mergeCell ref="D55:E55"/>
    <mergeCell ref="F55:G55"/>
    <mergeCell ref="H55:I55"/>
    <mergeCell ref="C57:D57"/>
    <mergeCell ref="B53:C53"/>
    <mergeCell ref="D53:E53"/>
    <mergeCell ref="F53:G53"/>
    <mergeCell ref="H53:I53"/>
    <mergeCell ref="B54:C54"/>
  </mergeCells>
  <pageMargins left="0.51180555555555596" right="0.51180555555555596" top="0.78680555555555598" bottom="0.78680555555555598" header="0.31458333333333299" footer="0.31458333333333299"/>
  <pageSetup paperSize="9" scale="84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8"/>
  <sheetViews>
    <sheetView showGridLines="0" topLeftCell="B1" workbookViewId="0">
      <selection activeCell="L10" sqref="L10"/>
    </sheetView>
  </sheetViews>
  <sheetFormatPr defaultColWidth="9" defaultRowHeight="14.4" x14ac:dyDescent="0.25"/>
  <cols>
    <col min="2" max="2" width="30.77734375" customWidth="1"/>
    <col min="3" max="3" width="12" customWidth="1"/>
    <col min="4" max="4" width="14.6640625" customWidth="1"/>
    <col min="5" max="5" width="14" customWidth="1"/>
    <col min="6" max="6" width="14.6640625" customWidth="1"/>
    <col min="7" max="7" width="14" customWidth="1"/>
    <col min="8" max="8" width="14.6640625" customWidth="1"/>
    <col min="9" max="9" width="14" customWidth="1"/>
    <col min="10" max="10" width="30.77734375" customWidth="1"/>
  </cols>
  <sheetData>
    <row r="2" spans="2:10" ht="21" customHeight="1" x14ac:dyDescent="0.25">
      <c r="B2" s="50" t="s">
        <v>100</v>
      </c>
      <c r="C2" s="51"/>
      <c r="D2" s="51"/>
      <c r="E2" s="51"/>
      <c r="F2" s="51"/>
      <c r="G2" s="51"/>
      <c r="H2" s="51"/>
      <c r="I2" s="51"/>
      <c r="J2" s="52"/>
    </row>
    <row r="3" spans="2:10" ht="15" x14ac:dyDescent="0.3">
      <c r="B3" s="53"/>
      <c r="C3" s="54"/>
      <c r="D3" s="55" t="s">
        <v>101</v>
      </c>
      <c r="E3" s="56"/>
      <c r="F3" s="55" t="s">
        <v>102</v>
      </c>
      <c r="G3" s="57"/>
      <c r="H3" s="55" t="s">
        <v>103</v>
      </c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4" t="s">
        <v>104</v>
      </c>
      <c r="C5" s="4"/>
      <c r="D5" s="4"/>
      <c r="E5" s="4"/>
      <c r="F5" s="4"/>
      <c r="G5" s="4"/>
      <c r="H5" s="4"/>
      <c r="I5" s="4"/>
      <c r="J5" s="16"/>
    </row>
    <row r="6" spans="2:10" ht="15" thickBot="1" x14ac:dyDescent="0.3">
      <c r="B6" s="19" t="s">
        <v>105</v>
      </c>
      <c r="C6" s="4">
        <v>4000</v>
      </c>
      <c r="D6" s="16">
        <v>1.85</v>
      </c>
      <c r="E6" s="16">
        <f>D6*C6</f>
        <v>7400</v>
      </c>
      <c r="F6" s="16">
        <v>1.84</v>
      </c>
      <c r="G6" s="16">
        <f>F6*C6</f>
        <v>7360</v>
      </c>
      <c r="H6" s="16">
        <v>1.84</v>
      </c>
      <c r="I6" s="16">
        <f>H6*C6</f>
        <v>7360</v>
      </c>
      <c r="J6" s="16"/>
    </row>
    <row r="7" spans="2:10" ht="15" thickBot="1" x14ac:dyDescent="0.3">
      <c r="B7" s="19" t="s">
        <v>106</v>
      </c>
      <c r="C7" s="4">
        <v>6000</v>
      </c>
      <c r="D7" s="16">
        <v>2.99</v>
      </c>
      <c r="E7" s="16">
        <f>D7*C7</f>
        <v>17940</v>
      </c>
      <c r="F7" s="16">
        <v>2.92</v>
      </c>
      <c r="G7" s="16">
        <f>F7*C7</f>
        <v>17520</v>
      </c>
      <c r="H7" s="16">
        <v>3.21</v>
      </c>
      <c r="I7" s="16">
        <f>H7*C7</f>
        <v>19260</v>
      </c>
      <c r="J7" s="16"/>
    </row>
    <row r="8" spans="2:10" ht="15" thickBot="1" x14ac:dyDescent="0.3">
      <c r="B8" s="19" t="s">
        <v>107</v>
      </c>
      <c r="C8" s="4">
        <v>6000</v>
      </c>
      <c r="D8" s="16">
        <v>3.99</v>
      </c>
      <c r="E8" s="16">
        <f>D8*C8</f>
        <v>23940</v>
      </c>
      <c r="F8" s="16">
        <v>4.2300000000000004</v>
      </c>
      <c r="G8" s="16">
        <f>F8*C8</f>
        <v>25380.000000000004</v>
      </c>
      <c r="H8" s="16">
        <v>4.6399999999999997</v>
      </c>
      <c r="I8" s="16">
        <f>H8*C8</f>
        <v>27839.999999999996</v>
      </c>
      <c r="J8" s="16"/>
    </row>
    <row r="9" spans="2:10" x14ac:dyDescent="0.25">
      <c r="B9" s="4" t="s">
        <v>108</v>
      </c>
      <c r="C9" s="4"/>
      <c r="D9" s="4"/>
      <c r="E9" s="10"/>
      <c r="F9" s="10"/>
      <c r="G9" s="10"/>
      <c r="H9" s="10"/>
      <c r="I9" s="12"/>
      <c r="J9" s="16"/>
    </row>
    <row r="10" spans="2:10" ht="28.8" x14ac:dyDescent="0.25">
      <c r="B10" s="8" t="s">
        <v>109</v>
      </c>
      <c r="C10" s="8"/>
      <c r="D10" s="8"/>
      <c r="E10" s="13"/>
      <c r="F10" s="13"/>
      <c r="G10" s="12"/>
      <c r="H10" s="12"/>
      <c r="I10" s="12"/>
      <c r="J10" s="16"/>
    </row>
    <row r="11" spans="2:10" ht="28.8" x14ac:dyDescent="0.25">
      <c r="B11" s="14" t="s">
        <v>110</v>
      </c>
      <c r="C11" s="14"/>
      <c r="D11" s="14"/>
      <c r="E11" s="15"/>
      <c r="F11" s="15"/>
      <c r="G11" s="11"/>
      <c r="H11" s="11"/>
      <c r="I11" s="11"/>
      <c r="J11" s="16"/>
    </row>
    <row r="12" spans="2:10" ht="15" x14ac:dyDescent="0.3">
      <c r="B12" s="42" t="s">
        <v>38</v>
      </c>
      <c r="C12" s="43"/>
      <c r="D12" s="62">
        <v>0</v>
      </c>
      <c r="E12" s="63"/>
      <c r="F12" s="62">
        <v>0</v>
      </c>
      <c r="G12" s="63"/>
      <c r="H12" s="46">
        <v>0</v>
      </c>
      <c r="I12" s="47"/>
      <c r="J12" s="39"/>
    </row>
    <row r="13" spans="2:10" ht="15" x14ac:dyDescent="0.3">
      <c r="B13" s="42" t="s">
        <v>39</v>
      </c>
      <c r="C13" s="43"/>
      <c r="D13" s="62">
        <f>SUM(E5:E11)</f>
        <v>49280</v>
      </c>
      <c r="E13" s="63"/>
      <c r="F13" s="62">
        <f>SUM(G6:G8)</f>
        <v>50260</v>
      </c>
      <c r="G13" s="63"/>
      <c r="H13" s="46">
        <f>SUM(I6:I8)</f>
        <v>54460</v>
      </c>
      <c r="I13" s="47"/>
      <c r="J13" s="40"/>
    </row>
    <row r="14" spans="2:10" ht="15" x14ac:dyDescent="0.3">
      <c r="B14" s="42" t="s">
        <v>40</v>
      </c>
      <c r="C14" s="43"/>
      <c r="D14" s="60">
        <f>D12+D13</f>
        <v>49280</v>
      </c>
      <c r="E14" s="61"/>
      <c r="F14" s="58">
        <f>F12+F13</f>
        <v>50260</v>
      </c>
      <c r="G14" s="59"/>
      <c r="H14" s="58">
        <f>SUM(H12+H13)</f>
        <v>54460</v>
      </c>
      <c r="I14" s="59"/>
      <c r="J14" s="41"/>
    </row>
    <row r="15" spans="2:10" ht="15" x14ac:dyDescent="0.3">
      <c r="B15" s="6"/>
      <c r="C15" s="6"/>
      <c r="D15" s="6"/>
      <c r="E15" s="6"/>
      <c r="F15" s="6"/>
      <c r="G15" s="6"/>
    </row>
    <row r="16" spans="2:10" ht="15" x14ac:dyDescent="0.3">
      <c r="B16" s="7" t="s">
        <v>41</v>
      </c>
      <c r="C16" s="48"/>
      <c r="D16" s="49"/>
    </row>
    <row r="17" spans="2:10" ht="45" customHeight="1" x14ac:dyDescent="0.25">
      <c r="B17" s="27" t="s">
        <v>42</v>
      </c>
      <c r="C17" s="28"/>
      <c r="D17" s="29"/>
      <c r="E17" s="30"/>
      <c r="F17" s="30"/>
      <c r="G17" s="30"/>
      <c r="H17" s="30"/>
      <c r="I17" s="30"/>
      <c r="J17" s="31"/>
    </row>
    <row r="18" spans="2:10" ht="45" customHeight="1" x14ac:dyDescent="0.25">
      <c r="B18" s="32" t="s">
        <v>43</v>
      </c>
      <c r="C18" s="33"/>
      <c r="D18" s="34"/>
      <c r="E18" s="35"/>
      <c r="F18" s="35"/>
      <c r="G18" s="35"/>
      <c r="H18" s="35"/>
      <c r="I18" s="35"/>
      <c r="J18" s="36"/>
    </row>
  </sheetData>
  <mergeCells count="24">
    <mergeCell ref="D13:E13"/>
    <mergeCell ref="F13:G13"/>
    <mergeCell ref="H13:I13"/>
    <mergeCell ref="B2:J2"/>
    <mergeCell ref="B3:C3"/>
    <mergeCell ref="D3:E3"/>
    <mergeCell ref="F3:G3"/>
    <mergeCell ref="H3:I3"/>
    <mergeCell ref="B17:C17"/>
    <mergeCell ref="D17:J17"/>
    <mergeCell ref="B18:C18"/>
    <mergeCell ref="D18:J18"/>
    <mergeCell ref="J3:J4"/>
    <mergeCell ref="J12:J14"/>
    <mergeCell ref="B14:C14"/>
    <mergeCell ref="D14:E14"/>
    <mergeCell ref="F14:G14"/>
    <mergeCell ref="H14:I14"/>
    <mergeCell ref="C16:D16"/>
    <mergeCell ref="B12:C12"/>
    <mergeCell ref="D12:E12"/>
    <mergeCell ref="F12:G12"/>
    <mergeCell ref="H12:I12"/>
    <mergeCell ref="B13:C1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6"/>
  <sheetViews>
    <sheetView showGridLines="0" topLeftCell="B1" workbookViewId="0">
      <selection activeCell="G22" sqref="G22"/>
    </sheetView>
  </sheetViews>
  <sheetFormatPr defaultColWidth="9" defaultRowHeight="14.4" x14ac:dyDescent="0.25"/>
  <cols>
    <col min="2" max="2" width="30.77734375" customWidth="1"/>
    <col min="3" max="3" width="12" customWidth="1"/>
    <col min="4" max="4" width="14.6640625" customWidth="1"/>
    <col min="5" max="5" width="12" customWidth="1"/>
    <col min="6" max="6" width="14.6640625" customWidth="1"/>
    <col min="7" max="7" width="12" customWidth="1"/>
    <col min="8" max="8" width="14.6640625" customWidth="1"/>
    <col min="9" max="9" width="12" customWidth="1"/>
    <col min="10" max="10" width="32.44140625" customWidth="1"/>
  </cols>
  <sheetData>
    <row r="2" spans="2:10" ht="21" customHeight="1" x14ac:dyDescent="0.25">
      <c r="B2" s="50" t="s">
        <v>111</v>
      </c>
      <c r="C2" s="51"/>
      <c r="D2" s="51"/>
      <c r="E2" s="51"/>
      <c r="F2" s="51"/>
      <c r="G2" s="51"/>
      <c r="H2" s="51"/>
      <c r="I2" s="51"/>
      <c r="J2" s="52"/>
    </row>
    <row r="3" spans="2:10" ht="15" x14ac:dyDescent="0.3">
      <c r="B3" s="53"/>
      <c r="C3" s="54"/>
      <c r="D3" s="55" t="s">
        <v>112</v>
      </c>
      <c r="E3" s="56"/>
      <c r="F3" s="55" t="s">
        <v>113</v>
      </c>
      <c r="G3" s="57"/>
      <c r="H3" s="55" t="s">
        <v>114</v>
      </c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21" t="s">
        <v>115</v>
      </c>
      <c r="C5" s="9">
        <v>16</v>
      </c>
      <c r="D5" s="22">
        <v>142.9</v>
      </c>
      <c r="E5" s="22">
        <f>D5*C5</f>
        <v>2286.4</v>
      </c>
      <c r="F5" s="16">
        <v>152</v>
      </c>
      <c r="G5" s="16">
        <f>F5*C5</f>
        <v>2432</v>
      </c>
      <c r="H5" s="16">
        <v>149</v>
      </c>
      <c r="I5" s="16">
        <f>H5*C5</f>
        <v>2384</v>
      </c>
      <c r="J5" s="4"/>
    </row>
    <row r="6" spans="2:10" x14ac:dyDescent="0.25">
      <c r="B6" s="19" t="s">
        <v>116</v>
      </c>
      <c r="C6" s="5">
        <v>10</v>
      </c>
      <c r="D6" s="16">
        <v>34.9</v>
      </c>
      <c r="E6" s="22">
        <f>D6*C6</f>
        <v>349</v>
      </c>
      <c r="F6" s="16">
        <v>12.99</v>
      </c>
      <c r="G6" s="16">
        <f>F6*C6</f>
        <v>129.9</v>
      </c>
      <c r="H6" s="16">
        <v>11.9</v>
      </c>
      <c r="I6" s="16">
        <f>H6*C6</f>
        <v>119</v>
      </c>
      <c r="J6" s="4"/>
    </row>
    <row r="7" spans="2:10" x14ac:dyDescent="0.25">
      <c r="B7" s="4" t="s">
        <v>117</v>
      </c>
      <c r="C7" s="5"/>
      <c r="D7" s="16">
        <v>0</v>
      </c>
      <c r="E7" s="22">
        <f>D7*C7</f>
        <v>0</v>
      </c>
      <c r="F7" s="16">
        <v>0</v>
      </c>
      <c r="G7" s="16">
        <f>F7*C7</f>
        <v>0</v>
      </c>
      <c r="H7" s="16">
        <v>0</v>
      </c>
      <c r="I7" s="16">
        <f>H7*C7</f>
        <v>0</v>
      </c>
      <c r="J7" s="4"/>
    </row>
    <row r="8" spans="2:10" x14ac:dyDescent="0.25">
      <c r="B8" s="19" t="s">
        <v>118</v>
      </c>
      <c r="C8" s="5">
        <v>30</v>
      </c>
      <c r="D8" s="16">
        <v>22.15</v>
      </c>
      <c r="E8" s="22">
        <f>D8*C8</f>
        <v>664.5</v>
      </c>
      <c r="F8" s="16">
        <v>18.27</v>
      </c>
      <c r="G8" s="16">
        <f>F8*C8</f>
        <v>548.1</v>
      </c>
      <c r="H8" s="16">
        <v>19.5</v>
      </c>
      <c r="I8" s="16">
        <f>H8*C8</f>
        <v>585</v>
      </c>
      <c r="J8" s="4"/>
    </row>
    <row r="9" spans="2:10" x14ac:dyDescent="0.25">
      <c r="B9" s="4" t="s">
        <v>119</v>
      </c>
      <c r="C9" s="5"/>
      <c r="D9" s="16">
        <v>0</v>
      </c>
      <c r="E9" s="22">
        <f>D9*C9</f>
        <v>0</v>
      </c>
      <c r="F9" s="16">
        <v>0</v>
      </c>
      <c r="G9" s="16">
        <f>F9*C9</f>
        <v>0</v>
      </c>
      <c r="H9" s="16">
        <v>0</v>
      </c>
      <c r="I9" s="16">
        <f>H9*C9</f>
        <v>0</v>
      </c>
      <c r="J9" s="4"/>
    </row>
    <row r="10" spans="2:10" ht="15" x14ac:dyDescent="0.3">
      <c r="B10" s="42" t="s">
        <v>38</v>
      </c>
      <c r="C10" s="43"/>
      <c r="D10" s="62">
        <v>0</v>
      </c>
      <c r="E10" s="63"/>
      <c r="F10" s="62">
        <v>0</v>
      </c>
      <c r="G10" s="63"/>
      <c r="H10" s="46">
        <v>0</v>
      </c>
      <c r="I10" s="47"/>
      <c r="J10" s="39"/>
    </row>
    <row r="11" spans="2:10" ht="15" x14ac:dyDescent="0.3">
      <c r="B11" s="42" t="s">
        <v>39</v>
      </c>
      <c r="C11" s="43"/>
      <c r="D11" s="65">
        <f>SUM(E5:E9)</f>
        <v>3299.9</v>
      </c>
      <c r="E11" s="66"/>
      <c r="F11" s="65">
        <f>SUM(G4:G9)</f>
        <v>3110</v>
      </c>
      <c r="G11" s="66"/>
      <c r="H11" s="67">
        <f>SUM(I4:I9)</f>
        <v>3088</v>
      </c>
      <c r="I11" s="68"/>
      <c r="J11" s="40"/>
    </row>
    <row r="12" spans="2:10" ht="15" x14ac:dyDescent="0.3">
      <c r="B12" s="42" t="s">
        <v>40</v>
      </c>
      <c r="C12" s="43"/>
      <c r="D12" s="58">
        <f>D10+D11</f>
        <v>3299.9</v>
      </c>
      <c r="E12" s="59"/>
      <c r="F12" s="58">
        <f>F10+F11</f>
        <v>3110</v>
      </c>
      <c r="G12" s="59"/>
      <c r="H12" s="60">
        <f>H10+H11</f>
        <v>3088</v>
      </c>
      <c r="I12" s="61"/>
      <c r="J12" s="41"/>
    </row>
    <row r="13" spans="2:10" ht="15" x14ac:dyDescent="0.3">
      <c r="B13" s="6"/>
      <c r="C13" s="6"/>
      <c r="D13" s="6"/>
      <c r="E13" s="6"/>
      <c r="F13" s="6"/>
      <c r="G13" s="6"/>
    </row>
    <row r="14" spans="2:10" ht="15" x14ac:dyDescent="0.3">
      <c r="B14" s="7" t="s">
        <v>41</v>
      </c>
      <c r="C14" s="48"/>
      <c r="D14" s="49"/>
    </row>
    <row r="15" spans="2:10" x14ac:dyDescent="0.25">
      <c r="B15" s="27" t="s">
        <v>42</v>
      </c>
      <c r="C15" s="28"/>
      <c r="D15" s="29"/>
      <c r="E15" s="30"/>
      <c r="F15" s="30"/>
      <c r="G15" s="30"/>
      <c r="H15" s="30"/>
      <c r="I15" s="30"/>
      <c r="J15" s="31"/>
    </row>
    <row r="16" spans="2:10" x14ac:dyDescent="0.25">
      <c r="B16" s="32" t="s">
        <v>43</v>
      </c>
      <c r="C16" s="33"/>
      <c r="D16" s="34"/>
      <c r="E16" s="35"/>
      <c r="F16" s="35"/>
      <c r="G16" s="35"/>
      <c r="H16" s="35"/>
      <c r="I16" s="35"/>
      <c r="J16" s="36"/>
    </row>
  </sheetData>
  <sortState xmlns:xlrd2="http://schemas.microsoft.com/office/spreadsheetml/2017/richdata2" ref="B5:I9">
    <sortCondition ref="B5:B9"/>
  </sortState>
  <mergeCells count="24">
    <mergeCell ref="D11:E11"/>
    <mergeCell ref="F11:G11"/>
    <mergeCell ref="H11:I11"/>
    <mergeCell ref="B2:J2"/>
    <mergeCell ref="B3:C3"/>
    <mergeCell ref="D3:E3"/>
    <mergeCell ref="F3:G3"/>
    <mergeCell ref="H3:I3"/>
    <mergeCell ref="B15:C15"/>
    <mergeCell ref="D15:J15"/>
    <mergeCell ref="B16:C16"/>
    <mergeCell ref="D16:J16"/>
    <mergeCell ref="J3:J4"/>
    <mergeCell ref="J10:J12"/>
    <mergeCell ref="B12:C12"/>
    <mergeCell ref="D12:E12"/>
    <mergeCell ref="F12:G12"/>
    <mergeCell ref="H12:I12"/>
    <mergeCell ref="C14:D14"/>
    <mergeCell ref="B10:C10"/>
    <mergeCell ref="D10:E10"/>
    <mergeCell ref="F10:G10"/>
    <mergeCell ref="H10:I10"/>
    <mergeCell ref="B11:C1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9"/>
  <sheetViews>
    <sheetView showGridLines="0" topLeftCell="B1" workbookViewId="0">
      <selection activeCell="N13" sqref="N13"/>
    </sheetView>
  </sheetViews>
  <sheetFormatPr defaultColWidth="9" defaultRowHeight="14.4" x14ac:dyDescent="0.25"/>
  <cols>
    <col min="2" max="2" width="19.77734375" customWidth="1"/>
    <col min="3" max="3" width="12" customWidth="1"/>
    <col min="4" max="6" width="19.77734375" customWidth="1"/>
    <col min="7" max="7" width="14.5546875" customWidth="1"/>
    <col min="8" max="8" width="20.21875" customWidth="1"/>
    <col min="9" max="9" width="17.6640625" customWidth="1"/>
    <col min="10" max="10" width="21.88671875" customWidth="1"/>
  </cols>
  <sheetData>
    <row r="2" spans="2:10" ht="21" customHeight="1" x14ac:dyDescent="0.25">
      <c r="B2" s="50" t="s">
        <v>120</v>
      </c>
      <c r="C2" s="51"/>
      <c r="D2" s="51"/>
      <c r="E2" s="51"/>
      <c r="F2" s="51"/>
      <c r="G2" s="51"/>
      <c r="H2" s="51"/>
      <c r="I2" s="51"/>
      <c r="J2" s="52"/>
    </row>
    <row r="3" spans="2:10" ht="21" customHeight="1" x14ac:dyDescent="0.3">
      <c r="B3" s="53"/>
      <c r="C3" s="54"/>
      <c r="D3" s="55" t="s">
        <v>121</v>
      </c>
      <c r="E3" s="56"/>
      <c r="F3" s="55" t="s">
        <v>122</v>
      </c>
      <c r="G3" s="57"/>
      <c r="H3" s="55" t="s">
        <v>123</v>
      </c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21" t="s">
        <v>124</v>
      </c>
      <c r="C5" s="9">
        <v>1</v>
      </c>
      <c r="D5" s="23">
        <v>3.19</v>
      </c>
      <c r="E5" s="23">
        <f>D5*C5</f>
        <v>3.19</v>
      </c>
      <c r="F5" s="23">
        <v>3.19</v>
      </c>
      <c r="G5" s="18">
        <f>F5*C5</f>
        <v>3.19</v>
      </c>
      <c r="H5" s="18">
        <v>3.99</v>
      </c>
      <c r="I5" s="18">
        <f>H5*C5</f>
        <v>3.99</v>
      </c>
      <c r="J5" s="4"/>
    </row>
    <row r="6" spans="2:10" x14ac:dyDescent="0.25">
      <c r="B6" s="4" t="s">
        <v>125</v>
      </c>
      <c r="C6" s="5"/>
      <c r="D6" s="18">
        <v>0</v>
      </c>
      <c r="E6" s="23">
        <f t="shared" ref="E6:E12" si="0">D6*C6</f>
        <v>0</v>
      </c>
      <c r="F6" s="18">
        <v>0</v>
      </c>
      <c r="G6" s="18">
        <f t="shared" ref="G6:G12" si="1">F6*C6</f>
        <v>0</v>
      </c>
      <c r="H6" s="18">
        <v>0</v>
      </c>
      <c r="I6" s="18">
        <f t="shared" ref="I6:I12" si="2">H6*C6</f>
        <v>0</v>
      </c>
      <c r="J6" s="4"/>
    </row>
    <row r="7" spans="2:10" x14ac:dyDescent="0.25">
      <c r="B7" s="21" t="s">
        <v>126</v>
      </c>
      <c r="C7" s="9">
        <v>4</v>
      </c>
      <c r="D7" s="23">
        <v>11.99</v>
      </c>
      <c r="E7" s="23">
        <f t="shared" si="0"/>
        <v>47.96</v>
      </c>
      <c r="F7" s="23">
        <v>18.34</v>
      </c>
      <c r="G7" s="18">
        <f t="shared" si="1"/>
        <v>73.36</v>
      </c>
      <c r="H7" s="18">
        <v>13.49</v>
      </c>
      <c r="I7" s="18">
        <f t="shared" si="2"/>
        <v>53.96</v>
      </c>
      <c r="J7" s="4"/>
    </row>
    <row r="8" spans="2:10" x14ac:dyDescent="0.25">
      <c r="B8" s="4" t="s">
        <v>127</v>
      </c>
      <c r="C8" s="5"/>
      <c r="D8" s="18">
        <v>0</v>
      </c>
      <c r="E8" s="23">
        <f t="shared" si="0"/>
        <v>0</v>
      </c>
      <c r="F8" s="18">
        <v>0</v>
      </c>
      <c r="G8" s="18">
        <f t="shared" si="1"/>
        <v>0</v>
      </c>
      <c r="H8" s="18">
        <v>0</v>
      </c>
      <c r="I8" s="18">
        <f t="shared" si="2"/>
        <v>0</v>
      </c>
      <c r="J8" s="4"/>
    </row>
    <row r="9" spans="2:10" x14ac:dyDescent="0.25">
      <c r="B9" s="19" t="s">
        <v>128</v>
      </c>
      <c r="C9" s="5">
        <v>10</v>
      </c>
      <c r="D9" s="18">
        <v>4.59</v>
      </c>
      <c r="E9" s="23">
        <f t="shared" si="0"/>
        <v>45.9</v>
      </c>
      <c r="F9" s="18">
        <v>2.44</v>
      </c>
      <c r="G9" s="18">
        <f t="shared" si="1"/>
        <v>24.4</v>
      </c>
      <c r="H9" s="18">
        <v>3.19</v>
      </c>
      <c r="I9" s="18">
        <f>H9*C9</f>
        <v>31.9</v>
      </c>
      <c r="J9" s="4"/>
    </row>
    <row r="10" spans="2:10" x14ac:dyDescent="0.25">
      <c r="B10" s="4" t="s">
        <v>129</v>
      </c>
      <c r="C10" s="5"/>
      <c r="D10" s="18">
        <v>0</v>
      </c>
      <c r="E10" s="23">
        <f t="shared" si="0"/>
        <v>0</v>
      </c>
      <c r="F10" s="18">
        <v>0</v>
      </c>
      <c r="G10" s="18">
        <f t="shared" si="1"/>
        <v>0</v>
      </c>
      <c r="H10" s="18">
        <v>0</v>
      </c>
      <c r="I10" s="18">
        <f t="shared" si="2"/>
        <v>0</v>
      </c>
      <c r="J10" s="4"/>
    </row>
    <row r="11" spans="2:10" x14ac:dyDescent="0.25">
      <c r="B11" s="19" t="s">
        <v>130</v>
      </c>
      <c r="C11" s="5">
        <v>1</v>
      </c>
      <c r="D11" s="18">
        <v>23.85</v>
      </c>
      <c r="E11" s="23">
        <f t="shared" si="0"/>
        <v>23.85</v>
      </c>
      <c r="F11" s="18">
        <v>17.989999999999998</v>
      </c>
      <c r="G11" s="18">
        <f t="shared" si="1"/>
        <v>17.989999999999998</v>
      </c>
      <c r="H11" s="18">
        <v>23.85</v>
      </c>
      <c r="I11" s="18">
        <f t="shared" si="2"/>
        <v>23.85</v>
      </c>
      <c r="J11" s="4"/>
    </row>
    <row r="12" spans="2:10" x14ac:dyDescent="0.25">
      <c r="B12" s="4" t="s">
        <v>131</v>
      </c>
      <c r="C12" s="5"/>
      <c r="D12" s="18">
        <v>0</v>
      </c>
      <c r="E12" s="23">
        <f t="shared" si="0"/>
        <v>0</v>
      </c>
      <c r="F12" s="18">
        <v>0</v>
      </c>
      <c r="G12" s="18">
        <f t="shared" si="1"/>
        <v>0</v>
      </c>
      <c r="H12" s="18">
        <v>0</v>
      </c>
      <c r="I12" s="18">
        <f t="shared" si="2"/>
        <v>0</v>
      </c>
      <c r="J12" s="4"/>
    </row>
    <row r="13" spans="2:10" ht="15" x14ac:dyDescent="0.3">
      <c r="B13" s="42" t="s">
        <v>38</v>
      </c>
      <c r="C13" s="43"/>
      <c r="D13" s="65">
        <v>5.89</v>
      </c>
      <c r="E13" s="66"/>
      <c r="F13" s="65">
        <v>4.29</v>
      </c>
      <c r="G13" s="66"/>
      <c r="H13" s="67">
        <v>8.9</v>
      </c>
      <c r="I13" s="68"/>
      <c r="J13" s="39"/>
    </row>
    <row r="14" spans="2:10" ht="15" x14ac:dyDescent="0.3">
      <c r="B14" s="42" t="s">
        <v>39</v>
      </c>
      <c r="C14" s="43"/>
      <c r="D14" s="65">
        <f>SUM(E4:E12)</f>
        <v>120.9</v>
      </c>
      <c r="E14" s="66"/>
      <c r="F14" s="65">
        <f>SUM(G4:G12)</f>
        <v>118.93999999999998</v>
      </c>
      <c r="G14" s="66"/>
      <c r="H14" s="67">
        <f>SUM(I4:I12)</f>
        <v>113.69999999999999</v>
      </c>
      <c r="I14" s="68"/>
      <c r="J14" s="40"/>
    </row>
    <row r="15" spans="2:10" ht="15" x14ac:dyDescent="0.3">
      <c r="B15" s="42" t="s">
        <v>40</v>
      </c>
      <c r="C15" s="43"/>
      <c r="D15" s="58">
        <f>D13+D14</f>
        <v>126.79</v>
      </c>
      <c r="E15" s="59"/>
      <c r="F15" s="58">
        <f>F13+F14</f>
        <v>123.22999999999999</v>
      </c>
      <c r="G15" s="59"/>
      <c r="H15" s="60">
        <f>H13+H14</f>
        <v>122.6</v>
      </c>
      <c r="I15" s="61"/>
      <c r="J15" s="41"/>
    </row>
    <row r="16" spans="2:10" ht="15" x14ac:dyDescent="0.3">
      <c r="B16" s="6"/>
      <c r="C16" s="6"/>
      <c r="D16" s="6"/>
      <c r="E16" s="6"/>
      <c r="F16" s="6"/>
      <c r="G16" s="6"/>
    </row>
    <row r="17" spans="2:10" ht="15" x14ac:dyDescent="0.3">
      <c r="B17" s="7" t="s">
        <v>41</v>
      </c>
      <c r="C17" s="48"/>
      <c r="D17" s="49"/>
    </row>
    <row r="18" spans="2:10" x14ac:dyDescent="0.25">
      <c r="B18" s="27" t="s">
        <v>42</v>
      </c>
      <c r="C18" s="28"/>
      <c r="D18" s="29"/>
      <c r="E18" s="30"/>
      <c r="F18" s="30"/>
      <c r="G18" s="30"/>
      <c r="H18" s="30"/>
      <c r="I18" s="30"/>
      <c r="J18" s="31"/>
    </row>
    <row r="19" spans="2:10" x14ac:dyDescent="0.25">
      <c r="B19" s="32" t="s">
        <v>43</v>
      </c>
      <c r="C19" s="33"/>
      <c r="D19" s="34"/>
      <c r="E19" s="35"/>
      <c r="F19" s="35"/>
      <c r="G19" s="35"/>
      <c r="H19" s="35"/>
      <c r="I19" s="35"/>
      <c r="J19" s="36"/>
    </row>
  </sheetData>
  <mergeCells count="24">
    <mergeCell ref="D14:E14"/>
    <mergeCell ref="F14:G14"/>
    <mergeCell ref="H14:I14"/>
    <mergeCell ref="B2:J2"/>
    <mergeCell ref="B3:C3"/>
    <mergeCell ref="D3:E3"/>
    <mergeCell ref="F3:G3"/>
    <mergeCell ref="H3:I3"/>
    <mergeCell ref="B18:C18"/>
    <mergeCell ref="D18:J18"/>
    <mergeCell ref="B19:C19"/>
    <mergeCell ref="D19:J19"/>
    <mergeCell ref="J3:J4"/>
    <mergeCell ref="J13:J15"/>
    <mergeCell ref="B15:C15"/>
    <mergeCell ref="D15:E15"/>
    <mergeCell ref="F15:G15"/>
    <mergeCell ref="H15:I15"/>
    <mergeCell ref="C17:D17"/>
    <mergeCell ref="B13:C13"/>
    <mergeCell ref="D13:E13"/>
    <mergeCell ref="F13:G13"/>
    <mergeCell ref="H13:I13"/>
    <mergeCell ref="B14:C1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5"/>
  <sheetViews>
    <sheetView showGridLines="0" workbookViewId="0">
      <selection activeCell="I16" sqref="I16"/>
    </sheetView>
  </sheetViews>
  <sheetFormatPr defaultColWidth="9" defaultRowHeight="14.4" x14ac:dyDescent="0.25"/>
  <cols>
    <col min="2" max="6" width="19.77734375" customWidth="1"/>
    <col min="7" max="7" width="14.5546875" customWidth="1"/>
    <col min="8" max="8" width="20.21875" customWidth="1"/>
    <col min="9" max="9" width="17.6640625" customWidth="1"/>
    <col min="10" max="10" width="30.77734375" customWidth="1"/>
  </cols>
  <sheetData>
    <row r="2" spans="2:10" ht="21" customHeight="1" x14ac:dyDescent="0.25">
      <c r="B2" s="50" t="s">
        <v>132</v>
      </c>
      <c r="C2" s="51"/>
      <c r="D2" s="51"/>
      <c r="E2" s="51"/>
      <c r="F2" s="51"/>
      <c r="G2" s="51"/>
      <c r="H2" s="51"/>
      <c r="I2" s="51"/>
      <c r="J2" s="52"/>
    </row>
    <row r="3" spans="2:10" ht="15" x14ac:dyDescent="0.3">
      <c r="B3" s="53"/>
      <c r="C3" s="54"/>
      <c r="D3" s="55" t="s">
        <v>133</v>
      </c>
      <c r="E3" s="56"/>
      <c r="F3" s="55" t="s">
        <v>134</v>
      </c>
      <c r="G3" s="57"/>
      <c r="H3" s="55" t="s">
        <v>135</v>
      </c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4" t="s">
        <v>136</v>
      </c>
      <c r="C5" s="4"/>
      <c r="D5" s="4"/>
      <c r="E5" s="4"/>
      <c r="F5" s="4"/>
      <c r="G5" s="4"/>
      <c r="H5" s="4"/>
      <c r="I5" s="4"/>
      <c r="J5" s="4"/>
    </row>
    <row r="6" spans="2:10" x14ac:dyDescent="0.25">
      <c r="B6" s="4" t="s">
        <v>137</v>
      </c>
      <c r="C6" s="4"/>
      <c r="D6" s="4"/>
      <c r="E6" s="4"/>
      <c r="F6" s="4"/>
      <c r="G6" s="4"/>
      <c r="H6" s="4"/>
      <c r="I6" s="4"/>
      <c r="J6" s="4"/>
    </row>
    <row r="7" spans="2:10" x14ac:dyDescent="0.25">
      <c r="B7" s="4" t="s">
        <v>138</v>
      </c>
      <c r="C7" s="4"/>
      <c r="D7" s="4"/>
      <c r="E7" s="4"/>
      <c r="F7" s="4"/>
      <c r="G7" s="4"/>
      <c r="H7" s="4"/>
      <c r="I7" s="4"/>
      <c r="J7" s="4"/>
    </row>
    <row r="8" spans="2:10" x14ac:dyDescent="0.25">
      <c r="B8" s="4"/>
      <c r="C8" s="4"/>
      <c r="D8" s="4"/>
      <c r="E8" s="4"/>
      <c r="F8" s="4"/>
      <c r="G8" s="4"/>
      <c r="H8" s="4"/>
      <c r="I8" s="4"/>
      <c r="J8" s="4"/>
    </row>
    <row r="9" spans="2:10" ht="15" x14ac:dyDescent="0.3">
      <c r="B9" s="42" t="s">
        <v>38</v>
      </c>
      <c r="C9" s="43"/>
      <c r="D9" s="65">
        <v>0</v>
      </c>
      <c r="E9" s="66"/>
      <c r="F9" s="65">
        <v>0</v>
      </c>
      <c r="G9" s="66"/>
      <c r="H9" s="67">
        <v>0</v>
      </c>
      <c r="I9" s="68"/>
      <c r="J9" s="39"/>
    </row>
    <row r="10" spans="2:10" ht="15" x14ac:dyDescent="0.3">
      <c r="B10" s="42" t="s">
        <v>39</v>
      </c>
      <c r="C10" s="43"/>
      <c r="D10" s="65">
        <f>SUM(E5:E8)</f>
        <v>0</v>
      </c>
      <c r="E10" s="66"/>
      <c r="F10" s="65">
        <f>SUM(G5:G8)</f>
        <v>0</v>
      </c>
      <c r="G10" s="66"/>
      <c r="H10" s="67">
        <f>SUM(H9)</f>
        <v>0</v>
      </c>
      <c r="I10" s="68"/>
      <c r="J10" s="40"/>
    </row>
    <row r="11" spans="2:10" ht="15" x14ac:dyDescent="0.3">
      <c r="B11" s="42" t="s">
        <v>40</v>
      </c>
      <c r="C11" s="43"/>
      <c r="D11" s="58">
        <f>D9+D10</f>
        <v>0</v>
      </c>
      <c r="E11" s="59"/>
      <c r="F11" s="58">
        <f>F9+F10</f>
        <v>0</v>
      </c>
      <c r="G11" s="59"/>
      <c r="H11" s="58">
        <f>H9+H10</f>
        <v>0</v>
      </c>
      <c r="I11" s="59"/>
      <c r="J11" s="41"/>
    </row>
    <row r="12" spans="2:10" ht="15" x14ac:dyDescent="0.3">
      <c r="B12" s="6"/>
      <c r="C12" s="6"/>
      <c r="D12" s="6"/>
      <c r="E12" s="6"/>
      <c r="F12" s="6"/>
      <c r="G12" s="6"/>
    </row>
    <row r="13" spans="2:10" ht="15" x14ac:dyDescent="0.3">
      <c r="B13" s="7" t="s">
        <v>41</v>
      </c>
      <c r="C13" s="48"/>
      <c r="D13" s="49"/>
    </row>
    <row r="14" spans="2:10" x14ac:dyDescent="0.25">
      <c r="B14" s="27" t="s">
        <v>42</v>
      </c>
      <c r="C14" s="28"/>
      <c r="D14" s="29"/>
      <c r="E14" s="30"/>
      <c r="F14" s="30"/>
      <c r="G14" s="30"/>
      <c r="H14" s="30"/>
      <c r="I14" s="30"/>
      <c r="J14" s="31"/>
    </row>
    <row r="15" spans="2:10" x14ac:dyDescent="0.25">
      <c r="B15" s="32" t="s">
        <v>43</v>
      </c>
      <c r="C15" s="33"/>
      <c r="D15" s="34"/>
      <c r="E15" s="35"/>
      <c r="F15" s="35"/>
      <c r="G15" s="35"/>
      <c r="H15" s="35"/>
      <c r="I15" s="35"/>
      <c r="J15" s="36"/>
    </row>
  </sheetData>
  <mergeCells count="24">
    <mergeCell ref="D10:E10"/>
    <mergeCell ref="F10:G10"/>
    <mergeCell ref="H10:I10"/>
    <mergeCell ref="B2:J2"/>
    <mergeCell ref="B3:C3"/>
    <mergeCell ref="D3:E3"/>
    <mergeCell ref="F3:G3"/>
    <mergeCell ref="H3:I3"/>
    <mergeCell ref="B14:C14"/>
    <mergeCell ref="D14:J14"/>
    <mergeCell ref="B15:C15"/>
    <mergeCell ref="D15:J15"/>
    <mergeCell ref="J3:J4"/>
    <mergeCell ref="J9:J11"/>
    <mergeCell ref="B11:C11"/>
    <mergeCell ref="D11:E11"/>
    <mergeCell ref="F11:G11"/>
    <mergeCell ref="H11:I11"/>
    <mergeCell ref="C13:D13"/>
    <mergeCell ref="B9:C9"/>
    <mergeCell ref="D9:E9"/>
    <mergeCell ref="F9:G9"/>
    <mergeCell ref="H9:I9"/>
    <mergeCell ref="B10:C10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5"/>
  <sheetViews>
    <sheetView showGridLines="0" workbookViewId="0">
      <selection activeCell="C21" sqref="C21"/>
    </sheetView>
  </sheetViews>
  <sheetFormatPr defaultColWidth="9" defaultRowHeight="14.4" x14ac:dyDescent="0.25"/>
  <cols>
    <col min="2" max="2" width="34.21875" customWidth="1"/>
    <col min="3" max="3" width="12" customWidth="1"/>
    <col min="4" max="4" width="14.6640625" customWidth="1"/>
    <col min="5" max="5" width="12" customWidth="1"/>
    <col min="6" max="6" width="14.6640625" customWidth="1"/>
    <col min="7" max="7" width="12" customWidth="1"/>
    <col min="8" max="8" width="14.6640625" customWidth="1"/>
    <col min="9" max="9" width="12" customWidth="1"/>
    <col min="10" max="10" width="13.5546875" customWidth="1"/>
  </cols>
  <sheetData>
    <row r="2" spans="2:10" ht="21" customHeight="1" x14ac:dyDescent="0.25">
      <c r="B2" s="50" t="s">
        <v>139</v>
      </c>
      <c r="C2" s="51"/>
      <c r="D2" s="51"/>
      <c r="E2" s="51"/>
      <c r="F2" s="51"/>
      <c r="G2" s="51"/>
      <c r="H2" s="51"/>
      <c r="I2" s="51"/>
      <c r="J2" s="52"/>
    </row>
    <row r="3" spans="2:10" ht="15" x14ac:dyDescent="0.3">
      <c r="B3" s="53"/>
      <c r="C3" s="54"/>
      <c r="D3" s="55" t="s">
        <v>140</v>
      </c>
      <c r="E3" s="56"/>
      <c r="F3" s="55" t="s">
        <v>141</v>
      </c>
      <c r="G3" s="57"/>
      <c r="H3" s="55"/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4" t="s">
        <v>166</v>
      </c>
      <c r="C5" s="4"/>
      <c r="D5" s="16">
        <v>0</v>
      </c>
      <c r="E5" s="16">
        <f>D5*C5</f>
        <v>0</v>
      </c>
      <c r="F5" s="16"/>
      <c r="G5" s="16">
        <f>F5*C5</f>
        <v>0</v>
      </c>
      <c r="H5" s="16"/>
      <c r="I5" s="16"/>
      <c r="J5" s="4"/>
    </row>
    <row r="6" spans="2:10" x14ac:dyDescent="0.25">
      <c r="B6" s="19" t="s">
        <v>165</v>
      </c>
      <c r="C6" s="4">
        <v>3</v>
      </c>
      <c r="D6" s="16">
        <v>80</v>
      </c>
      <c r="E6" s="16">
        <f>D6*C6</f>
        <v>240</v>
      </c>
      <c r="F6" s="16">
        <v>80</v>
      </c>
      <c r="G6" s="16">
        <f>F6*C6</f>
        <v>240</v>
      </c>
      <c r="H6" s="16"/>
      <c r="I6" s="16"/>
      <c r="J6" s="4"/>
    </row>
    <row r="7" spans="2:10" x14ac:dyDescent="0.25">
      <c r="B7" s="4" t="s">
        <v>142</v>
      </c>
      <c r="C7" s="4"/>
      <c r="D7" s="16"/>
      <c r="E7" s="16">
        <f>D7*C7</f>
        <v>0</v>
      </c>
      <c r="F7" s="16"/>
      <c r="G7" s="16">
        <f>F7*C7</f>
        <v>0</v>
      </c>
      <c r="H7" s="16"/>
      <c r="I7" s="16"/>
      <c r="J7" s="4"/>
    </row>
    <row r="8" spans="2:10" x14ac:dyDescent="0.25">
      <c r="B8" s="19" t="s">
        <v>167</v>
      </c>
      <c r="C8" s="4">
        <v>3</v>
      </c>
      <c r="D8" s="16">
        <v>50</v>
      </c>
      <c r="E8" s="16">
        <f>D8*C8</f>
        <v>150</v>
      </c>
      <c r="F8" s="16">
        <v>50</v>
      </c>
      <c r="G8" s="16">
        <f>F8*C8</f>
        <v>150</v>
      </c>
      <c r="H8" s="16"/>
      <c r="I8" s="16"/>
      <c r="J8" s="4"/>
    </row>
    <row r="9" spans="2:10" ht="15" x14ac:dyDescent="0.3">
      <c r="B9" s="42" t="s">
        <v>38</v>
      </c>
      <c r="C9" s="43"/>
      <c r="D9" s="65"/>
      <c r="E9" s="66"/>
      <c r="F9" s="65">
        <v>10</v>
      </c>
      <c r="G9" s="66"/>
      <c r="H9" s="46">
        <v>0</v>
      </c>
      <c r="I9" s="47"/>
      <c r="J9" s="39"/>
    </row>
    <row r="10" spans="2:10" ht="15" x14ac:dyDescent="0.3">
      <c r="B10" s="42" t="s">
        <v>39</v>
      </c>
      <c r="C10" s="43"/>
      <c r="D10" s="65">
        <f>SUM(E5:E8)</f>
        <v>390</v>
      </c>
      <c r="E10" s="66"/>
      <c r="F10" s="65">
        <f>SUM(G5:G8)</f>
        <v>390</v>
      </c>
      <c r="G10" s="66"/>
      <c r="H10" s="46">
        <f>SUM(H9)</f>
        <v>0</v>
      </c>
      <c r="I10" s="47"/>
      <c r="J10" s="40"/>
    </row>
    <row r="11" spans="2:10" ht="15" x14ac:dyDescent="0.3">
      <c r="B11" s="42" t="s">
        <v>40</v>
      </c>
      <c r="C11" s="43"/>
      <c r="D11" s="60">
        <f>D9+D10</f>
        <v>390</v>
      </c>
      <c r="E11" s="61"/>
      <c r="F11" s="58">
        <f>F9+F10</f>
        <v>400</v>
      </c>
      <c r="G11" s="59"/>
      <c r="H11" s="60">
        <f>H9+H10</f>
        <v>0</v>
      </c>
      <c r="I11" s="61"/>
      <c r="J11" s="41"/>
    </row>
    <row r="12" spans="2:10" ht="15" x14ac:dyDescent="0.3">
      <c r="B12" s="6"/>
      <c r="C12" s="6"/>
      <c r="D12" s="6"/>
      <c r="E12" s="6"/>
      <c r="F12" s="6"/>
      <c r="G12" s="6"/>
    </row>
    <row r="13" spans="2:10" ht="15" x14ac:dyDescent="0.3">
      <c r="B13" s="7" t="s">
        <v>41</v>
      </c>
      <c r="C13" s="48"/>
      <c r="D13" s="49"/>
    </row>
    <row r="14" spans="2:10" x14ac:dyDescent="0.25">
      <c r="B14" s="27" t="s">
        <v>42</v>
      </c>
      <c r="C14" s="28"/>
      <c r="D14" s="29"/>
      <c r="E14" s="30"/>
      <c r="F14" s="30"/>
      <c r="G14" s="30"/>
      <c r="H14" s="30"/>
      <c r="I14" s="30"/>
      <c r="J14" s="31"/>
    </row>
    <row r="15" spans="2:10" x14ac:dyDescent="0.25">
      <c r="B15" s="32" t="s">
        <v>43</v>
      </c>
      <c r="C15" s="33"/>
      <c r="D15" s="34"/>
      <c r="E15" s="35"/>
      <c r="F15" s="35"/>
      <c r="G15" s="35"/>
      <c r="H15" s="35"/>
      <c r="I15" s="35"/>
      <c r="J15" s="36"/>
    </row>
  </sheetData>
  <mergeCells count="24">
    <mergeCell ref="D10:E10"/>
    <mergeCell ref="F10:G10"/>
    <mergeCell ref="H10:I10"/>
    <mergeCell ref="B2:J2"/>
    <mergeCell ref="B3:C3"/>
    <mergeCell ref="D3:E3"/>
    <mergeCell ref="F3:G3"/>
    <mergeCell ref="H3:I3"/>
    <mergeCell ref="B14:C14"/>
    <mergeCell ref="D14:J14"/>
    <mergeCell ref="B15:C15"/>
    <mergeCell ref="D15:J15"/>
    <mergeCell ref="J3:J4"/>
    <mergeCell ref="J9:J11"/>
    <mergeCell ref="B11:C11"/>
    <mergeCell ref="D11:E11"/>
    <mergeCell ref="F11:G11"/>
    <mergeCell ref="H11:I11"/>
    <mergeCell ref="C13:D13"/>
    <mergeCell ref="B9:C9"/>
    <mergeCell ref="D9:E9"/>
    <mergeCell ref="F9:G9"/>
    <mergeCell ref="H9:I9"/>
    <mergeCell ref="B10:C10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17"/>
  <sheetViews>
    <sheetView showGridLines="0" workbookViewId="0">
      <selection activeCell="G24" sqref="G24"/>
    </sheetView>
  </sheetViews>
  <sheetFormatPr defaultColWidth="9" defaultRowHeight="14.4" x14ac:dyDescent="0.25"/>
  <cols>
    <col min="2" max="2" width="49.21875" customWidth="1"/>
    <col min="3" max="3" width="12" customWidth="1"/>
    <col min="4" max="4" width="14.6640625" customWidth="1"/>
    <col min="5" max="5" width="12" customWidth="1"/>
    <col min="6" max="6" width="14.6640625" customWidth="1"/>
    <col min="7" max="7" width="12" customWidth="1"/>
    <col min="8" max="8" width="14.6640625" customWidth="1"/>
    <col min="9" max="9" width="12" customWidth="1"/>
    <col min="10" max="10" width="13.5546875" customWidth="1"/>
  </cols>
  <sheetData>
    <row r="2" spans="2:10" ht="21" customHeight="1" x14ac:dyDescent="0.25">
      <c r="B2" s="50" t="s">
        <v>143</v>
      </c>
      <c r="C2" s="51"/>
      <c r="D2" s="51"/>
      <c r="E2" s="51"/>
      <c r="F2" s="51"/>
      <c r="G2" s="51"/>
      <c r="H2" s="51"/>
      <c r="I2" s="51"/>
      <c r="J2" s="52"/>
    </row>
    <row r="3" spans="2:10" ht="15" x14ac:dyDescent="0.3">
      <c r="B3" s="53"/>
      <c r="C3" s="54"/>
      <c r="D3" s="55" t="s">
        <v>144</v>
      </c>
      <c r="E3" s="56"/>
      <c r="F3" s="55" t="s">
        <v>141</v>
      </c>
      <c r="G3" s="57"/>
      <c r="H3" s="55"/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4" t="s">
        <v>145</v>
      </c>
      <c r="C5" s="4"/>
      <c r="D5" s="4"/>
      <c r="E5" s="4"/>
      <c r="F5" s="4"/>
      <c r="G5" s="4"/>
      <c r="H5" s="4"/>
      <c r="I5" s="4"/>
      <c r="J5" s="4"/>
    </row>
    <row r="6" spans="2:10" x14ac:dyDescent="0.25">
      <c r="B6" s="4" t="s">
        <v>146</v>
      </c>
      <c r="C6" s="4"/>
      <c r="D6" s="4"/>
      <c r="E6" s="4"/>
      <c r="F6" s="4"/>
      <c r="G6" s="4"/>
      <c r="H6" s="4"/>
      <c r="I6" s="4"/>
      <c r="J6" s="4"/>
    </row>
    <row r="7" spans="2:10" x14ac:dyDescent="0.25">
      <c r="B7" s="4" t="s">
        <v>147</v>
      </c>
      <c r="C7" s="4"/>
      <c r="D7" s="4"/>
      <c r="E7" s="4"/>
      <c r="F7" s="4"/>
      <c r="G7" s="4"/>
      <c r="H7" s="4"/>
      <c r="I7" s="4"/>
      <c r="J7" s="4"/>
    </row>
    <row r="8" spans="2:10" x14ac:dyDescent="0.25">
      <c r="B8" s="4" t="s">
        <v>148</v>
      </c>
      <c r="C8" s="4"/>
      <c r="D8" s="4"/>
      <c r="E8" s="4"/>
      <c r="F8" s="4"/>
      <c r="G8" s="4"/>
      <c r="H8" s="4"/>
      <c r="I8" s="4"/>
      <c r="J8" s="4"/>
    </row>
    <row r="9" spans="2:10" x14ac:dyDescent="0.25">
      <c r="B9" s="4" t="s">
        <v>149</v>
      </c>
      <c r="C9" s="4"/>
      <c r="D9" s="4"/>
      <c r="E9" s="4"/>
      <c r="F9" s="4"/>
      <c r="G9" s="4"/>
      <c r="H9" s="4"/>
      <c r="I9" s="4"/>
      <c r="J9" s="4"/>
    </row>
    <row r="10" spans="2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2:10" ht="15" x14ac:dyDescent="0.3">
      <c r="B11" s="42" t="s">
        <v>38</v>
      </c>
      <c r="C11" s="43"/>
      <c r="D11" s="62">
        <v>0</v>
      </c>
      <c r="E11" s="63"/>
      <c r="F11" s="62">
        <v>0</v>
      </c>
      <c r="G11" s="63"/>
      <c r="H11" s="46">
        <v>0</v>
      </c>
      <c r="I11" s="47"/>
      <c r="J11" s="39"/>
    </row>
    <row r="12" spans="2:10" ht="15" x14ac:dyDescent="0.3">
      <c r="B12" s="42" t="s">
        <v>39</v>
      </c>
      <c r="C12" s="43"/>
      <c r="D12" s="62">
        <f>SUM(E5:E10)</f>
        <v>0</v>
      </c>
      <c r="E12" s="63"/>
      <c r="F12" s="62">
        <f>SUM(G5:G10)</f>
        <v>0</v>
      </c>
      <c r="G12" s="63"/>
      <c r="H12" s="46">
        <f>SUM(H11)</f>
        <v>0</v>
      </c>
      <c r="I12" s="47"/>
      <c r="J12" s="40"/>
    </row>
    <row r="13" spans="2:10" ht="15" x14ac:dyDescent="0.3">
      <c r="B13" s="42" t="s">
        <v>40</v>
      </c>
      <c r="C13" s="43"/>
      <c r="D13" s="60">
        <f>D11+D12</f>
        <v>0</v>
      </c>
      <c r="E13" s="61"/>
      <c r="F13" s="60">
        <f>F11+F12</f>
        <v>0</v>
      </c>
      <c r="G13" s="61"/>
      <c r="H13" s="60">
        <f>H11+H12</f>
        <v>0</v>
      </c>
      <c r="I13" s="61"/>
      <c r="J13" s="41"/>
    </row>
    <row r="14" spans="2:10" ht="15" x14ac:dyDescent="0.3">
      <c r="B14" s="6"/>
      <c r="C14" s="6"/>
      <c r="D14" s="6"/>
      <c r="E14" s="6"/>
      <c r="F14" s="6"/>
      <c r="G14" s="6"/>
    </row>
    <row r="15" spans="2:10" ht="15" x14ac:dyDescent="0.3">
      <c r="B15" s="7" t="s">
        <v>41</v>
      </c>
      <c r="C15" s="48"/>
      <c r="D15" s="49"/>
    </row>
    <row r="16" spans="2:10" x14ac:dyDescent="0.25">
      <c r="B16" s="27" t="s">
        <v>42</v>
      </c>
      <c r="C16" s="28"/>
      <c r="D16" s="29"/>
      <c r="E16" s="30"/>
      <c r="F16" s="30"/>
      <c r="G16" s="30"/>
      <c r="H16" s="30"/>
      <c r="I16" s="30"/>
      <c r="J16" s="31"/>
    </row>
    <row r="17" spans="2:10" x14ac:dyDescent="0.25">
      <c r="B17" s="32" t="s">
        <v>43</v>
      </c>
      <c r="C17" s="33"/>
      <c r="D17" s="34"/>
      <c r="E17" s="35"/>
      <c r="F17" s="35"/>
      <c r="G17" s="35"/>
      <c r="H17" s="35"/>
      <c r="I17" s="35"/>
      <c r="J17" s="36"/>
    </row>
  </sheetData>
  <mergeCells count="24">
    <mergeCell ref="D12:E12"/>
    <mergeCell ref="F12:G12"/>
    <mergeCell ref="H12:I12"/>
    <mergeCell ref="B2:J2"/>
    <mergeCell ref="B3:C3"/>
    <mergeCell ref="D3:E3"/>
    <mergeCell ref="F3:G3"/>
    <mergeCell ref="H3:I3"/>
    <mergeCell ref="B16:C16"/>
    <mergeCell ref="D16:J16"/>
    <mergeCell ref="B17:C17"/>
    <mergeCell ref="D17:J17"/>
    <mergeCell ref="J3:J4"/>
    <mergeCell ref="J11:J13"/>
    <mergeCell ref="B13:C13"/>
    <mergeCell ref="D13:E13"/>
    <mergeCell ref="F13:G13"/>
    <mergeCell ref="H13:I13"/>
    <mergeCell ref="C15:D15"/>
    <mergeCell ref="B11:C11"/>
    <mergeCell ref="D11:E11"/>
    <mergeCell ref="F11:G11"/>
    <mergeCell ref="H11:I11"/>
    <mergeCell ref="B12:C12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24"/>
  <sheetViews>
    <sheetView showGridLines="0" workbookViewId="0">
      <selection activeCell="B2" sqref="B2:J24"/>
    </sheetView>
  </sheetViews>
  <sheetFormatPr defaultColWidth="9" defaultRowHeight="14.4" x14ac:dyDescent="0.25"/>
  <cols>
    <col min="2" max="2" width="52.33203125" bestFit="1" customWidth="1"/>
    <col min="3" max="3" width="12" customWidth="1"/>
    <col min="4" max="4" width="14.6640625" customWidth="1"/>
    <col min="5" max="5" width="12" customWidth="1"/>
    <col min="6" max="6" width="14.6640625" customWidth="1"/>
    <col min="7" max="7" width="12" customWidth="1"/>
    <col min="8" max="8" width="14.6640625" customWidth="1"/>
    <col min="9" max="9" width="12" customWidth="1"/>
    <col min="10" max="10" width="13.5546875" customWidth="1"/>
  </cols>
  <sheetData>
    <row r="2" spans="2:10" ht="21" customHeight="1" x14ac:dyDescent="0.25">
      <c r="B2" s="50" t="s">
        <v>150</v>
      </c>
      <c r="C2" s="51"/>
      <c r="D2" s="51"/>
      <c r="E2" s="51"/>
      <c r="F2" s="51"/>
      <c r="G2" s="51"/>
      <c r="H2" s="51"/>
      <c r="I2" s="51"/>
      <c r="J2" s="52"/>
    </row>
    <row r="3" spans="2:10" ht="15" x14ac:dyDescent="0.3">
      <c r="B3" s="53"/>
      <c r="C3" s="54"/>
      <c r="D3" s="55" t="s">
        <v>112</v>
      </c>
      <c r="E3" s="56"/>
      <c r="F3" s="55" t="s">
        <v>161</v>
      </c>
      <c r="G3" s="57"/>
      <c r="H3" s="55" t="s">
        <v>114</v>
      </c>
      <c r="I3" s="57"/>
      <c r="J3" s="37" t="s">
        <v>4</v>
      </c>
    </row>
    <row r="4" spans="2:10" ht="15" x14ac:dyDescent="0.3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x14ac:dyDescent="0.25">
      <c r="B5" s="19" t="s">
        <v>152</v>
      </c>
      <c r="C5" s="5">
        <v>5</v>
      </c>
      <c r="D5" s="18">
        <v>12.99</v>
      </c>
      <c r="E5" s="18">
        <f t="shared" ref="E5:E14" si="0">D5*C5</f>
        <v>64.95</v>
      </c>
      <c r="F5" s="18">
        <v>15.5</v>
      </c>
      <c r="G5" s="18">
        <v>77.5</v>
      </c>
      <c r="H5" s="18">
        <v>12.2</v>
      </c>
      <c r="I5" s="18">
        <f t="shared" ref="I5:I14" si="1">H5*C5</f>
        <v>61</v>
      </c>
      <c r="J5" s="4"/>
    </row>
    <row r="6" spans="2:10" x14ac:dyDescent="0.25">
      <c r="B6" s="19" t="s">
        <v>154</v>
      </c>
      <c r="C6" s="5">
        <v>1</v>
      </c>
      <c r="D6" s="18">
        <v>165.9</v>
      </c>
      <c r="E6" s="18">
        <f t="shared" si="0"/>
        <v>165.9</v>
      </c>
      <c r="F6" s="18">
        <v>178.22</v>
      </c>
      <c r="G6" s="18">
        <v>178.22</v>
      </c>
      <c r="H6" s="18">
        <v>182</v>
      </c>
      <c r="I6" s="18">
        <f t="shared" si="1"/>
        <v>182</v>
      </c>
      <c r="J6" s="4"/>
    </row>
    <row r="7" spans="2:10" x14ac:dyDescent="0.25">
      <c r="B7" s="19" t="s">
        <v>162</v>
      </c>
      <c r="C7" s="5">
        <v>1</v>
      </c>
      <c r="D7" s="18">
        <v>529.9</v>
      </c>
      <c r="E7" s="18">
        <f t="shared" si="0"/>
        <v>529.9</v>
      </c>
      <c r="F7" s="18">
        <v>519.9</v>
      </c>
      <c r="G7" s="18">
        <f>F7*C7</f>
        <v>519.9</v>
      </c>
      <c r="H7" s="18">
        <v>529.9</v>
      </c>
      <c r="I7" s="18">
        <f t="shared" si="1"/>
        <v>529.9</v>
      </c>
      <c r="J7" s="4"/>
    </row>
    <row r="8" spans="2:10" x14ac:dyDescent="0.25">
      <c r="B8" s="19" t="s">
        <v>153</v>
      </c>
      <c r="C8" s="5">
        <v>4</v>
      </c>
      <c r="D8" s="18">
        <v>207</v>
      </c>
      <c r="E8" s="18">
        <f t="shared" si="0"/>
        <v>828</v>
      </c>
      <c r="F8" s="18">
        <v>215</v>
      </c>
      <c r="G8" s="18">
        <v>860</v>
      </c>
      <c r="H8" s="18">
        <v>213</v>
      </c>
      <c r="I8" s="18">
        <f t="shared" si="1"/>
        <v>852</v>
      </c>
      <c r="J8" s="4"/>
    </row>
    <row r="9" spans="2:10" x14ac:dyDescent="0.25">
      <c r="B9" s="19" t="s">
        <v>164</v>
      </c>
      <c r="C9" s="5">
        <v>1</v>
      </c>
      <c r="D9" s="18">
        <v>75.69</v>
      </c>
      <c r="E9" s="18">
        <f t="shared" si="0"/>
        <v>75.69</v>
      </c>
      <c r="F9" s="18">
        <v>72</v>
      </c>
      <c r="G9" s="18">
        <v>72</v>
      </c>
      <c r="H9" s="18">
        <v>66.48</v>
      </c>
      <c r="I9" s="18">
        <f t="shared" si="1"/>
        <v>66.48</v>
      </c>
      <c r="J9" s="4"/>
    </row>
    <row r="10" spans="2:10" x14ac:dyDescent="0.25">
      <c r="B10" s="19" t="s">
        <v>169</v>
      </c>
      <c r="C10" s="5">
        <v>1</v>
      </c>
      <c r="D10" s="18">
        <v>289</v>
      </c>
      <c r="E10" s="18">
        <f t="shared" si="0"/>
        <v>289</v>
      </c>
      <c r="F10" s="18">
        <v>297</v>
      </c>
      <c r="G10" s="18">
        <f>F10*C10</f>
        <v>297</v>
      </c>
      <c r="H10" s="18">
        <v>315.2</v>
      </c>
      <c r="I10" s="18">
        <f t="shared" si="1"/>
        <v>315.2</v>
      </c>
      <c r="J10" s="4"/>
    </row>
    <row r="11" spans="2:10" x14ac:dyDescent="0.25">
      <c r="B11" s="19" t="s">
        <v>156</v>
      </c>
      <c r="C11" s="5">
        <v>1</v>
      </c>
      <c r="D11" s="18">
        <v>24.99</v>
      </c>
      <c r="E11" s="18">
        <f t="shared" si="0"/>
        <v>24.99</v>
      </c>
      <c r="F11" s="18">
        <v>43</v>
      </c>
      <c r="G11" s="18">
        <v>43</v>
      </c>
      <c r="H11" s="18">
        <v>36.92</v>
      </c>
      <c r="I11" s="18">
        <f t="shared" si="1"/>
        <v>36.92</v>
      </c>
      <c r="J11" s="4"/>
    </row>
    <row r="12" spans="2:10" x14ac:dyDescent="0.25">
      <c r="B12" s="19" t="s">
        <v>155</v>
      </c>
      <c r="C12" s="5">
        <v>2</v>
      </c>
      <c r="D12" s="18">
        <v>49.59</v>
      </c>
      <c r="E12" s="18">
        <f t="shared" si="0"/>
        <v>99.18</v>
      </c>
      <c r="F12" s="18">
        <v>59.09</v>
      </c>
      <c r="G12" s="18">
        <v>177.27</v>
      </c>
      <c r="H12" s="18">
        <v>58.99</v>
      </c>
      <c r="I12" s="18">
        <f t="shared" si="1"/>
        <v>117.98</v>
      </c>
      <c r="J12" s="4"/>
    </row>
    <row r="13" spans="2:10" x14ac:dyDescent="0.25">
      <c r="B13" s="19" t="s">
        <v>151</v>
      </c>
      <c r="C13" s="5">
        <v>3</v>
      </c>
      <c r="D13" s="18">
        <v>76.5</v>
      </c>
      <c r="E13" s="18">
        <f t="shared" si="0"/>
        <v>229.5</v>
      </c>
      <c r="F13" s="18">
        <v>85.5</v>
      </c>
      <c r="G13" s="18">
        <f>F13*C13</f>
        <v>256.5</v>
      </c>
      <c r="H13" s="18">
        <v>78.5</v>
      </c>
      <c r="I13" s="18">
        <f t="shared" si="1"/>
        <v>235.5</v>
      </c>
      <c r="J13" s="4"/>
    </row>
    <row r="14" spans="2:10" x14ac:dyDescent="0.25">
      <c r="B14" s="19" t="s">
        <v>163</v>
      </c>
      <c r="C14" s="5">
        <v>1</v>
      </c>
      <c r="D14" s="18">
        <v>902.38</v>
      </c>
      <c r="E14" s="18">
        <f t="shared" si="0"/>
        <v>902.38</v>
      </c>
      <c r="F14" s="18">
        <v>792.85</v>
      </c>
      <c r="G14" s="18">
        <f>F14*C14</f>
        <v>792.85</v>
      </c>
      <c r="H14" s="18">
        <v>859.9</v>
      </c>
      <c r="I14" s="18">
        <f t="shared" si="1"/>
        <v>859.9</v>
      </c>
      <c r="J14" s="4"/>
    </row>
    <row r="15" spans="2:10" x14ac:dyDescent="0.25">
      <c r="B15" s="4"/>
      <c r="C15" s="5"/>
      <c r="D15" s="18"/>
      <c r="E15" s="18"/>
      <c r="F15" s="18"/>
      <c r="G15" s="18"/>
      <c r="H15" s="18"/>
      <c r="I15" s="18"/>
      <c r="J15" s="4"/>
    </row>
    <row r="16" spans="2:10" x14ac:dyDescent="0.25">
      <c r="B16" s="4"/>
      <c r="C16" s="5"/>
      <c r="D16" s="18"/>
      <c r="E16" s="18"/>
      <c r="F16" s="18"/>
      <c r="G16" s="18"/>
      <c r="H16" s="18"/>
      <c r="I16" s="18"/>
      <c r="J16" s="4"/>
    </row>
    <row r="17" spans="2:10" x14ac:dyDescent="0.25">
      <c r="B17" s="4"/>
      <c r="C17" s="4"/>
      <c r="D17" s="16"/>
      <c r="E17" s="16"/>
      <c r="F17" s="16"/>
      <c r="G17" s="16"/>
      <c r="H17" s="16"/>
      <c r="I17" s="16"/>
      <c r="J17" s="4"/>
    </row>
    <row r="18" spans="2:10" ht="15" x14ac:dyDescent="0.3">
      <c r="B18" s="42" t="s">
        <v>38</v>
      </c>
      <c r="C18" s="43"/>
      <c r="D18" s="65">
        <v>0</v>
      </c>
      <c r="E18" s="66"/>
      <c r="F18" s="65">
        <v>21.64</v>
      </c>
      <c r="G18" s="66"/>
      <c r="H18" s="67">
        <v>0</v>
      </c>
      <c r="I18" s="68"/>
      <c r="J18" s="39"/>
    </row>
    <row r="19" spans="2:10" ht="15" x14ac:dyDescent="0.3">
      <c r="B19" s="42" t="s">
        <v>39</v>
      </c>
      <c r="C19" s="43"/>
      <c r="D19" s="65">
        <f>SUM(E5:E14)</f>
        <v>3209.4900000000002</v>
      </c>
      <c r="E19" s="66"/>
      <c r="F19" s="65">
        <f>SUM(G5:G14)</f>
        <v>3274.24</v>
      </c>
      <c r="G19" s="66"/>
      <c r="H19" s="67">
        <f>SUM(I5:I14)</f>
        <v>3256.88</v>
      </c>
      <c r="I19" s="68"/>
      <c r="J19" s="40"/>
    </row>
    <row r="20" spans="2:10" ht="15" x14ac:dyDescent="0.3">
      <c r="B20" s="42" t="s">
        <v>40</v>
      </c>
      <c r="C20" s="43"/>
      <c r="D20" s="60">
        <f>D18+D19</f>
        <v>3209.4900000000002</v>
      </c>
      <c r="E20" s="61"/>
      <c r="F20" s="58">
        <f>F18+F19</f>
        <v>3295.8799999999997</v>
      </c>
      <c r="G20" s="59"/>
      <c r="H20" s="58">
        <f>H18+H19</f>
        <v>3256.88</v>
      </c>
      <c r="I20" s="59"/>
      <c r="J20" s="41"/>
    </row>
    <row r="21" spans="2:10" ht="15" x14ac:dyDescent="0.3">
      <c r="B21" s="6"/>
      <c r="C21" s="6"/>
      <c r="D21" s="6"/>
      <c r="E21" s="6"/>
      <c r="F21" s="6"/>
      <c r="G21" s="6"/>
    </row>
    <row r="22" spans="2:10" ht="15" x14ac:dyDescent="0.3">
      <c r="B22" s="7" t="s">
        <v>41</v>
      </c>
      <c r="C22" s="48"/>
      <c r="D22" s="49"/>
    </row>
    <row r="23" spans="2:10" x14ac:dyDescent="0.25">
      <c r="B23" s="27" t="s">
        <v>42</v>
      </c>
      <c r="C23" s="28"/>
      <c r="D23" s="29"/>
      <c r="E23" s="30"/>
      <c r="F23" s="30"/>
      <c r="G23" s="30"/>
      <c r="H23" s="30"/>
      <c r="I23" s="30"/>
      <c r="J23" s="31"/>
    </row>
    <row r="24" spans="2:10" x14ac:dyDescent="0.25">
      <c r="B24" s="32" t="s">
        <v>43</v>
      </c>
      <c r="C24" s="33"/>
      <c r="D24" s="34"/>
      <c r="E24" s="35"/>
      <c r="F24" s="35"/>
      <c r="G24" s="35"/>
      <c r="H24" s="35"/>
      <c r="I24" s="35"/>
      <c r="J24" s="36"/>
    </row>
  </sheetData>
  <sortState xmlns:xlrd2="http://schemas.microsoft.com/office/spreadsheetml/2017/richdata2" ref="B5:I14">
    <sortCondition ref="B5:B14"/>
  </sortState>
  <mergeCells count="24">
    <mergeCell ref="D19:E19"/>
    <mergeCell ref="F19:G19"/>
    <mergeCell ref="H19:I19"/>
    <mergeCell ref="B2:J2"/>
    <mergeCell ref="B3:C3"/>
    <mergeCell ref="D3:E3"/>
    <mergeCell ref="F3:G3"/>
    <mergeCell ref="H3:I3"/>
    <mergeCell ref="B23:C23"/>
    <mergeCell ref="D23:J23"/>
    <mergeCell ref="B24:C24"/>
    <mergeCell ref="D24:J24"/>
    <mergeCell ref="J3:J4"/>
    <mergeCell ref="J18:J20"/>
    <mergeCell ref="B20:C20"/>
    <mergeCell ref="D20:E20"/>
    <mergeCell ref="F20:G20"/>
    <mergeCell ref="H20:I20"/>
    <mergeCell ref="C22:D22"/>
    <mergeCell ref="B18:C18"/>
    <mergeCell ref="D18:E18"/>
    <mergeCell ref="F18:G18"/>
    <mergeCell ref="H18:I18"/>
    <mergeCell ref="B19:C19"/>
  </mergeCells>
  <pageMargins left="0" right="0" top="0" bottom="0" header="0" footer="0"/>
  <pageSetup paperSize="9" scale="9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DFFD-4441-43EC-9579-E87F311A4B79}">
  <dimension ref="B1:J30"/>
  <sheetViews>
    <sheetView workbookViewId="0">
      <selection activeCell="E23" sqref="E23"/>
    </sheetView>
  </sheetViews>
  <sheetFormatPr defaultRowHeight="14.4" x14ac:dyDescent="0.25"/>
  <cols>
    <col min="2" max="2" width="69.44140625" bestFit="1" customWidth="1"/>
    <col min="3" max="3" width="12" bestFit="1" customWidth="1"/>
    <col min="4" max="4" width="14.6640625" bestFit="1" customWidth="1"/>
    <col min="5" max="5" width="15.44140625" customWidth="1"/>
    <col min="6" max="6" width="14.6640625" bestFit="1" customWidth="1"/>
    <col min="7" max="7" width="18.77734375" customWidth="1"/>
    <col min="8" max="8" width="14.6640625" bestFit="1" customWidth="1"/>
    <col min="9" max="9" width="21.77734375" customWidth="1"/>
    <col min="10" max="10" width="13.5546875" bestFit="1" customWidth="1"/>
  </cols>
  <sheetData>
    <row r="1" spans="2:10" ht="15" thickBot="1" x14ac:dyDescent="0.3"/>
    <row r="2" spans="2:10" ht="15" thickBot="1" x14ac:dyDescent="0.3">
      <c r="B2" s="50" t="s">
        <v>177</v>
      </c>
      <c r="C2" s="51"/>
      <c r="D2" s="51"/>
      <c r="E2" s="51"/>
      <c r="F2" s="51"/>
      <c r="G2" s="51"/>
      <c r="H2" s="51"/>
      <c r="I2" s="51"/>
      <c r="J2" s="52"/>
    </row>
    <row r="3" spans="2:10" ht="15.6" thickBot="1" x14ac:dyDescent="0.35">
      <c r="B3" s="53"/>
      <c r="C3" s="54"/>
      <c r="D3" s="55" t="s">
        <v>178</v>
      </c>
      <c r="E3" s="56"/>
      <c r="F3" s="55" t="s">
        <v>174</v>
      </c>
      <c r="G3" s="57"/>
      <c r="H3" s="55" t="s">
        <v>175</v>
      </c>
      <c r="I3" s="57"/>
      <c r="J3" s="37" t="s">
        <v>4</v>
      </c>
    </row>
    <row r="4" spans="2:10" ht="15.6" thickBot="1" x14ac:dyDescent="0.35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ht="15" thickBot="1" x14ac:dyDescent="0.3">
      <c r="B5" s="19" t="s">
        <v>181</v>
      </c>
      <c r="C5" s="5">
        <v>9</v>
      </c>
      <c r="D5" s="18">
        <v>50</v>
      </c>
      <c r="E5" s="18">
        <f>D5*C5</f>
        <v>450</v>
      </c>
      <c r="F5" s="18">
        <v>35</v>
      </c>
      <c r="G5" s="18">
        <v>297</v>
      </c>
      <c r="H5" s="18">
        <v>50</v>
      </c>
      <c r="I5" s="18">
        <v>450</v>
      </c>
      <c r="J5" s="4"/>
    </row>
    <row r="6" spans="2:10" ht="15" thickBot="1" x14ac:dyDescent="0.3">
      <c r="B6" s="19" t="s">
        <v>172</v>
      </c>
      <c r="C6" s="5">
        <v>9</v>
      </c>
      <c r="D6" s="18">
        <v>95</v>
      </c>
      <c r="E6" s="18">
        <f>D6*C6</f>
        <v>855</v>
      </c>
      <c r="F6" s="18">
        <v>97</v>
      </c>
      <c r="G6" s="18">
        <f>F6*C6</f>
        <v>873</v>
      </c>
      <c r="H6" s="18">
        <v>101</v>
      </c>
      <c r="I6" s="18">
        <f>H6*C6</f>
        <v>909</v>
      </c>
      <c r="J6" s="4"/>
    </row>
    <row r="7" spans="2:10" ht="15" thickBot="1" x14ac:dyDescent="0.3">
      <c r="B7" s="19" t="s">
        <v>170</v>
      </c>
      <c r="C7" s="5">
        <v>6</v>
      </c>
      <c r="D7" s="18">
        <v>5.99</v>
      </c>
      <c r="E7" s="18">
        <f t="shared" ref="E7:E12" si="0">D7*C7</f>
        <v>35.94</v>
      </c>
      <c r="F7" s="18">
        <v>7.99</v>
      </c>
      <c r="G7" s="18">
        <f t="shared" ref="G7:G12" si="1">F7*C7</f>
        <v>47.94</v>
      </c>
      <c r="H7" s="18">
        <v>8.2899999999999991</v>
      </c>
      <c r="I7" s="18">
        <f t="shared" ref="I7:I12" si="2">H7*C7</f>
        <v>49.739999999999995</v>
      </c>
      <c r="J7" s="4"/>
    </row>
    <row r="8" spans="2:10" ht="15" thickBot="1" x14ac:dyDescent="0.3">
      <c r="B8" s="19" t="s">
        <v>171</v>
      </c>
      <c r="C8" s="5">
        <v>10</v>
      </c>
      <c r="D8" s="18">
        <v>11.7</v>
      </c>
      <c r="E8" s="18">
        <f t="shared" si="0"/>
        <v>117</v>
      </c>
      <c r="F8" s="18">
        <v>14.9</v>
      </c>
      <c r="G8" s="18">
        <f t="shared" si="1"/>
        <v>149</v>
      </c>
      <c r="H8" s="18">
        <v>11.89</v>
      </c>
      <c r="I8" s="18">
        <f t="shared" si="2"/>
        <v>118.9</v>
      </c>
      <c r="J8" s="4"/>
    </row>
    <row r="9" spans="2:10" ht="15" thickBot="1" x14ac:dyDescent="0.3">
      <c r="B9" s="19" t="s">
        <v>173</v>
      </c>
      <c r="C9" s="5">
        <v>1</v>
      </c>
      <c r="D9" s="18">
        <v>520</v>
      </c>
      <c r="E9" s="18">
        <f t="shared" si="0"/>
        <v>520</v>
      </c>
      <c r="F9" s="18">
        <v>680</v>
      </c>
      <c r="G9" s="18">
        <f t="shared" si="1"/>
        <v>680</v>
      </c>
      <c r="H9" s="18">
        <v>760</v>
      </c>
      <c r="I9" s="18">
        <f t="shared" si="2"/>
        <v>760</v>
      </c>
      <c r="J9" s="4"/>
    </row>
    <row r="10" spans="2:10" ht="15" thickBot="1" x14ac:dyDescent="0.3">
      <c r="B10" s="19" t="s">
        <v>182</v>
      </c>
      <c r="C10" s="5">
        <v>2</v>
      </c>
      <c r="D10" s="18">
        <v>80</v>
      </c>
      <c r="E10" s="18">
        <f t="shared" si="0"/>
        <v>160</v>
      </c>
      <c r="F10" s="18">
        <v>85</v>
      </c>
      <c r="G10" s="18">
        <f t="shared" si="1"/>
        <v>170</v>
      </c>
      <c r="H10" s="18">
        <v>75</v>
      </c>
      <c r="I10" s="18">
        <f t="shared" si="2"/>
        <v>150</v>
      </c>
      <c r="J10" s="4"/>
    </row>
    <row r="11" spans="2:10" ht="15" thickBot="1" x14ac:dyDescent="0.3">
      <c r="B11" s="19" t="s">
        <v>179</v>
      </c>
      <c r="C11" s="5">
        <v>1</v>
      </c>
      <c r="D11" s="18">
        <v>216</v>
      </c>
      <c r="E11" s="18">
        <f t="shared" si="0"/>
        <v>216</v>
      </c>
      <c r="F11" s="18">
        <v>231.8</v>
      </c>
      <c r="G11" s="18">
        <f t="shared" si="1"/>
        <v>231.8</v>
      </c>
      <c r="H11" s="18">
        <v>325</v>
      </c>
      <c r="I11" s="18">
        <f t="shared" si="2"/>
        <v>325</v>
      </c>
      <c r="J11" s="4"/>
    </row>
    <row r="12" spans="2:10" ht="15" thickBot="1" x14ac:dyDescent="0.3">
      <c r="B12" s="19" t="s">
        <v>180</v>
      </c>
      <c r="C12" s="5">
        <v>1</v>
      </c>
      <c r="D12" s="16">
        <v>65.17</v>
      </c>
      <c r="E12" s="16">
        <f t="shared" si="0"/>
        <v>65.17</v>
      </c>
      <c r="F12" s="16">
        <v>85.5</v>
      </c>
      <c r="G12" s="16">
        <f t="shared" si="1"/>
        <v>85.5</v>
      </c>
      <c r="H12" s="16">
        <v>78.5</v>
      </c>
      <c r="I12" s="16">
        <f t="shared" si="2"/>
        <v>78.5</v>
      </c>
      <c r="J12" s="4"/>
    </row>
    <row r="13" spans="2:10" ht="15.6" thickBot="1" x14ac:dyDescent="0.35">
      <c r="B13" s="42" t="s">
        <v>38</v>
      </c>
      <c r="C13" s="43"/>
      <c r="D13" s="65">
        <v>0</v>
      </c>
      <c r="E13" s="66"/>
      <c r="F13" s="65">
        <v>39.9</v>
      </c>
      <c r="G13" s="66"/>
      <c r="H13" s="67">
        <v>42.53</v>
      </c>
      <c r="I13" s="68"/>
      <c r="J13" s="39"/>
    </row>
    <row r="14" spans="2:10" ht="15.6" thickBot="1" x14ac:dyDescent="0.35">
      <c r="B14" s="42" t="s">
        <v>39</v>
      </c>
      <c r="C14" s="43"/>
      <c r="D14" s="65">
        <f>SUM(E5:E12)</f>
        <v>2419.11</v>
      </c>
      <c r="E14" s="66"/>
      <c r="F14" s="65">
        <f>SUM(G5:G12)</f>
        <v>2534.2400000000002</v>
      </c>
      <c r="G14" s="66"/>
      <c r="H14" s="67">
        <f>SUM(I5:I12)</f>
        <v>2841.1400000000003</v>
      </c>
      <c r="I14" s="68"/>
      <c r="J14" s="40"/>
    </row>
    <row r="15" spans="2:10" ht="15.6" thickBot="1" x14ac:dyDescent="0.35">
      <c r="B15" s="42" t="s">
        <v>40</v>
      </c>
      <c r="C15" s="43"/>
      <c r="D15" s="60">
        <f>D13+D14</f>
        <v>2419.11</v>
      </c>
      <c r="E15" s="61"/>
      <c r="F15" s="58">
        <f>F13+F14</f>
        <v>2574.1400000000003</v>
      </c>
      <c r="G15" s="59"/>
      <c r="H15" s="58">
        <f>H13+H14</f>
        <v>2883.6700000000005</v>
      </c>
      <c r="I15" s="59"/>
      <c r="J15" s="41"/>
    </row>
    <row r="16" spans="2:10" ht="15.6" thickBot="1" x14ac:dyDescent="0.35">
      <c r="B16" s="6"/>
      <c r="C16" s="6"/>
      <c r="D16" s="6"/>
      <c r="E16" s="6"/>
      <c r="F16" s="6"/>
      <c r="G16" s="6"/>
    </row>
    <row r="17" spans="2:10" ht="15.6" thickBot="1" x14ac:dyDescent="0.35">
      <c r="B17" s="7" t="s">
        <v>41</v>
      </c>
      <c r="C17" s="48"/>
      <c r="D17" s="49"/>
    </row>
    <row r="18" spans="2:10" ht="15" thickBot="1" x14ac:dyDescent="0.3">
      <c r="B18" s="27" t="s">
        <v>42</v>
      </c>
      <c r="C18" s="28"/>
      <c r="D18" s="29"/>
      <c r="E18" s="30"/>
      <c r="F18" s="30"/>
      <c r="G18" s="30"/>
      <c r="H18" s="30"/>
      <c r="I18" s="30"/>
      <c r="J18" s="31"/>
    </row>
    <row r="19" spans="2:10" ht="15" thickBot="1" x14ac:dyDescent="0.3">
      <c r="B19" s="32" t="s">
        <v>43</v>
      </c>
      <c r="C19" s="33"/>
      <c r="D19" s="34"/>
      <c r="E19" s="35"/>
      <c r="F19" s="35"/>
      <c r="G19" s="35"/>
      <c r="H19" s="35"/>
      <c r="I19" s="35"/>
      <c r="J19" s="36"/>
    </row>
    <row r="22" spans="2:10" ht="15" x14ac:dyDescent="0.3">
      <c r="B22" s="24" t="s">
        <v>183</v>
      </c>
      <c r="C22">
        <v>855</v>
      </c>
    </row>
    <row r="23" spans="2:10" ht="15" x14ac:dyDescent="0.3">
      <c r="B23" s="24" t="s">
        <v>184</v>
      </c>
      <c r="C23">
        <v>322</v>
      </c>
    </row>
    <row r="24" spans="2:10" ht="15" x14ac:dyDescent="0.3">
      <c r="B24" s="24" t="s">
        <v>185</v>
      </c>
      <c r="C24">
        <v>520</v>
      </c>
    </row>
    <row r="25" spans="2:10" ht="15" x14ac:dyDescent="0.3">
      <c r="B25" s="24" t="s">
        <v>186</v>
      </c>
      <c r="C25">
        <v>280</v>
      </c>
    </row>
    <row r="26" spans="2:10" ht="15" x14ac:dyDescent="0.3">
      <c r="B26" s="24" t="s">
        <v>187</v>
      </c>
      <c r="C26">
        <v>216</v>
      </c>
    </row>
    <row r="27" spans="2:10" ht="15" x14ac:dyDescent="0.3">
      <c r="B27" s="24" t="s">
        <v>188</v>
      </c>
      <c r="C27">
        <v>65.17</v>
      </c>
    </row>
    <row r="28" spans="2:10" ht="15" x14ac:dyDescent="0.3">
      <c r="B28" s="24" t="s">
        <v>171</v>
      </c>
      <c r="C28">
        <v>117</v>
      </c>
    </row>
    <row r="29" spans="2:10" ht="15" x14ac:dyDescent="0.3">
      <c r="B29" s="24" t="s">
        <v>176</v>
      </c>
      <c r="C29">
        <v>36</v>
      </c>
    </row>
    <row r="30" spans="2:10" ht="15" x14ac:dyDescent="0.3">
      <c r="B30" s="25" t="s">
        <v>39</v>
      </c>
      <c r="C30" s="26">
        <f>SUM(C22:C29)</f>
        <v>2411.17</v>
      </c>
    </row>
  </sheetData>
  <mergeCells count="24">
    <mergeCell ref="B2:J2"/>
    <mergeCell ref="B3:C3"/>
    <mergeCell ref="D3:E3"/>
    <mergeCell ref="F3:G3"/>
    <mergeCell ref="H3:I3"/>
    <mergeCell ref="J3:J4"/>
    <mergeCell ref="B13:C13"/>
    <mergeCell ref="D13:E13"/>
    <mergeCell ref="F13:G13"/>
    <mergeCell ref="H13:I13"/>
    <mergeCell ref="J13:J15"/>
    <mergeCell ref="B14:C14"/>
    <mergeCell ref="D14:E14"/>
    <mergeCell ref="F14:G14"/>
    <mergeCell ref="H14:I14"/>
    <mergeCell ref="B15:C15"/>
    <mergeCell ref="B19:C19"/>
    <mergeCell ref="D19:J19"/>
    <mergeCell ref="D15:E15"/>
    <mergeCell ref="F15:G15"/>
    <mergeCell ref="H15:I15"/>
    <mergeCell ref="C17:D17"/>
    <mergeCell ref="B18:C18"/>
    <mergeCell ref="D18:J18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FD8A-6828-4BA4-BD35-BD26E6F0D516}">
  <dimension ref="B1:J24"/>
  <sheetViews>
    <sheetView workbookViewId="0">
      <selection activeCell="B2" sqref="B2:J24"/>
    </sheetView>
  </sheetViews>
  <sheetFormatPr defaultRowHeight="14.4" x14ac:dyDescent="0.25"/>
  <cols>
    <col min="2" max="2" width="52.33203125" bestFit="1" customWidth="1"/>
    <col min="3" max="3" width="12" bestFit="1" customWidth="1"/>
    <col min="4" max="4" width="14.6640625" bestFit="1" customWidth="1"/>
    <col min="5" max="5" width="12" bestFit="1" customWidth="1"/>
    <col min="6" max="6" width="14.6640625" bestFit="1" customWidth="1"/>
    <col min="7" max="7" width="12" bestFit="1" customWidth="1"/>
    <col min="8" max="8" width="14.6640625" bestFit="1" customWidth="1"/>
    <col min="9" max="9" width="12" bestFit="1" customWidth="1"/>
  </cols>
  <sheetData>
    <row r="1" spans="2:10" ht="15" thickBot="1" x14ac:dyDescent="0.3"/>
    <row r="2" spans="2:10" ht="15" thickBot="1" x14ac:dyDescent="0.3">
      <c r="B2" s="50" t="s">
        <v>150</v>
      </c>
      <c r="C2" s="51"/>
      <c r="D2" s="51"/>
      <c r="E2" s="51"/>
      <c r="F2" s="51"/>
      <c r="G2" s="51"/>
      <c r="H2" s="51"/>
      <c r="I2" s="51"/>
      <c r="J2" s="52"/>
    </row>
    <row r="3" spans="2:10" ht="15.6" thickBot="1" x14ac:dyDescent="0.35">
      <c r="B3" s="53"/>
      <c r="C3" s="54"/>
      <c r="D3" s="55" t="s">
        <v>112</v>
      </c>
      <c r="E3" s="56"/>
      <c r="F3" s="55" t="s">
        <v>161</v>
      </c>
      <c r="G3" s="57"/>
      <c r="H3" s="55" t="s">
        <v>114</v>
      </c>
      <c r="I3" s="57"/>
      <c r="J3" s="37" t="s">
        <v>4</v>
      </c>
    </row>
    <row r="4" spans="2:10" ht="15.6" thickBot="1" x14ac:dyDescent="0.35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ht="15" thickBot="1" x14ac:dyDescent="0.3">
      <c r="B5" s="19" t="s">
        <v>189</v>
      </c>
      <c r="C5" s="5">
        <v>10</v>
      </c>
      <c r="D5" s="18">
        <v>12.99</v>
      </c>
      <c r="E5" s="18">
        <f t="shared" ref="E5:E14" si="0">D5*C5</f>
        <v>129.9</v>
      </c>
      <c r="F5" s="18">
        <v>15.5</v>
      </c>
      <c r="G5" s="18">
        <v>77.5</v>
      </c>
      <c r="H5" s="18">
        <v>12.2</v>
      </c>
      <c r="I5" s="18">
        <f t="shared" ref="I5:I14" si="1">H5*C5</f>
        <v>122</v>
      </c>
      <c r="J5" s="4"/>
    </row>
    <row r="6" spans="2:10" ht="15" thickBot="1" x14ac:dyDescent="0.3">
      <c r="B6" s="19" t="s">
        <v>154</v>
      </c>
      <c r="C6" s="5">
        <v>1</v>
      </c>
      <c r="D6" s="18">
        <v>165.9</v>
      </c>
      <c r="E6" s="18">
        <f t="shared" si="0"/>
        <v>165.9</v>
      </c>
      <c r="F6" s="18">
        <v>178.22</v>
      </c>
      <c r="G6" s="18">
        <v>178.22</v>
      </c>
      <c r="H6" s="18">
        <v>182</v>
      </c>
      <c r="I6" s="18">
        <f t="shared" si="1"/>
        <v>182</v>
      </c>
      <c r="J6" s="4"/>
    </row>
    <row r="7" spans="2:10" ht="15" thickBot="1" x14ac:dyDescent="0.3">
      <c r="B7" s="19" t="s">
        <v>162</v>
      </c>
      <c r="C7" s="5">
        <v>1</v>
      </c>
      <c r="D7" s="18">
        <v>529.9</v>
      </c>
      <c r="E7" s="18">
        <f t="shared" si="0"/>
        <v>529.9</v>
      </c>
      <c r="F7" s="18">
        <v>519.9</v>
      </c>
      <c r="G7" s="18">
        <f>F7*C7</f>
        <v>519.9</v>
      </c>
      <c r="H7" s="18">
        <v>529.9</v>
      </c>
      <c r="I7" s="18">
        <f t="shared" si="1"/>
        <v>529.9</v>
      </c>
      <c r="J7" s="4"/>
    </row>
    <row r="8" spans="2:10" ht="15" thickBot="1" x14ac:dyDescent="0.3">
      <c r="B8" s="19" t="s">
        <v>153</v>
      </c>
      <c r="C8" s="5">
        <v>4</v>
      </c>
      <c r="D8" s="18">
        <v>207</v>
      </c>
      <c r="E8" s="18">
        <f t="shared" si="0"/>
        <v>828</v>
      </c>
      <c r="F8" s="18">
        <v>215</v>
      </c>
      <c r="G8" s="18">
        <v>860</v>
      </c>
      <c r="H8" s="18">
        <v>213</v>
      </c>
      <c r="I8" s="18">
        <f t="shared" si="1"/>
        <v>852</v>
      </c>
      <c r="J8" s="4"/>
    </row>
    <row r="9" spans="2:10" ht="15" thickBot="1" x14ac:dyDescent="0.3">
      <c r="B9" s="19" t="s">
        <v>164</v>
      </c>
      <c r="C9" s="5">
        <v>1</v>
      </c>
      <c r="D9" s="18">
        <v>75.69</v>
      </c>
      <c r="E9" s="18">
        <f t="shared" si="0"/>
        <v>75.69</v>
      </c>
      <c r="F9" s="18">
        <v>72</v>
      </c>
      <c r="G9" s="18">
        <v>72</v>
      </c>
      <c r="H9" s="18">
        <v>66.48</v>
      </c>
      <c r="I9" s="18">
        <f t="shared" si="1"/>
        <v>66.48</v>
      </c>
      <c r="J9" s="4"/>
    </row>
    <row r="10" spans="2:10" ht="15" thickBot="1" x14ac:dyDescent="0.3">
      <c r="B10" s="19" t="s">
        <v>169</v>
      </c>
      <c r="C10" s="5">
        <v>1</v>
      </c>
      <c r="D10" s="18">
        <v>289</v>
      </c>
      <c r="E10" s="18">
        <f t="shared" si="0"/>
        <v>289</v>
      </c>
      <c r="F10" s="18">
        <v>297</v>
      </c>
      <c r="G10" s="18">
        <f>F10*C10</f>
        <v>297</v>
      </c>
      <c r="H10" s="18">
        <v>315.2</v>
      </c>
      <c r="I10" s="18">
        <f t="shared" si="1"/>
        <v>315.2</v>
      </c>
      <c r="J10" s="4"/>
    </row>
    <row r="11" spans="2:10" ht="15" thickBot="1" x14ac:dyDescent="0.3">
      <c r="B11" s="19" t="s">
        <v>156</v>
      </c>
      <c r="C11" s="5">
        <v>1</v>
      </c>
      <c r="D11" s="18">
        <v>24.99</v>
      </c>
      <c r="E11" s="18">
        <f t="shared" si="0"/>
        <v>24.99</v>
      </c>
      <c r="F11" s="18">
        <v>43</v>
      </c>
      <c r="G11" s="18">
        <v>43</v>
      </c>
      <c r="H11" s="18">
        <v>36.92</v>
      </c>
      <c r="I11" s="18">
        <f t="shared" si="1"/>
        <v>36.92</v>
      </c>
      <c r="J11" s="4"/>
    </row>
    <row r="12" spans="2:10" ht="15" thickBot="1" x14ac:dyDescent="0.3">
      <c r="B12" s="19" t="s">
        <v>155</v>
      </c>
      <c r="C12" s="5">
        <v>2</v>
      </c>
      <c r="D12" s="18">
        <v>49.59</v>
      </c>
      <c r="E12" s="18">
        <f t="shared" si="0"/>
        <v>99.18</v>
      </c>
      <c r="F12" s="18">
        <v>59.09</v>
      </c>
      <c r="G12" s="18">
        <v>177.27</v>
      </c>
      <c r="H12" s="18">
        <v>58.99</v>
      </c>
      <c r="I12" s="18">
        <f t="shared" si="1"/>
        <v>117.98</v>
      </c>
      <c r="J12" s="4"/>
    </row>
    <row r="13" spans="2:10" ht="15" thickBot="1" x14ac:dyDescent="0.3">
      <c r="B13" s="19" t="s">
        <v>151</v>
      </c>
      <c r="C13" s="5">
        <v>3</v>
      </c>
      <c r="D13" s="18">
        <v>76.5</v>
      </c>
      <c r="E13" s="18">
        <f t="shared" si="0"/>
        <v>229.5</v>
      </c>
      <c r="F13" s="18">
        <v>85.5</v>
      </c>
      <c r="G13" s="18">
        <f>F13*C13</f>
        <v>256.5</v>
      </c>
      <c r="H13" s="18">
        <v>78.5</v>
      </c>
      <c r="I13" s="18">
        <f t="shared" si="1"/>
        <v>235.5</v>
      </c>
      <c r="J13" s="4"/>
    </row>
    <row r="14" spans="2:10" ht="15" thickBot="1" x14ac:dyDescent="0.3">
      <c r="B14" s="19" t="s">
        <v>163</v>
      </c>
      <c r="C14" s="5">
        <v>1</v>
      </c>
      <c r="D14" s="18">
        <v>902.38</v>
      </c>
      <c r="E14" s="18">
        <f t="shared" si="0"/>
        <v>902.38</v>
      </c>
      <c r="F14" s="18">
        <v>792.85</v>
      </c>
      <c r="G14" s="18">
        <f>F14*C14</f>
        <v>792.85</v>
      </c>
      <c r="H14" s="18">
        <v>859.9</v>
      </c>
      <c r="I14" s="18">
        <f t="shared" si="1"/>
        <v>859.9</v>
      </c>
      <c r="J14" s="4"/>
    </row>
    <row r="15" spans="2:10" ht="15" thickBot="1" x14ac:dyDescent="0.3">
      <c r="B15" s="4"/>
      <c r="C15" s="5"/>
      <c r="D15" s="18"/>
      <c r="E15" s="18"/>
      <c r="F15" s="18"/>
      <c r="G15" s="18"/>
      <c r="H15" s="18"/>
      <c r="I15" s="18"/>
      <c r="J15" s="4"/>
    </row>
    <row r="16" spans="2:10" ht="15" thickBot="1" x14ac:dyDescent="0.3">
      <c r="B16" s="4"/>
      <c r="C16" s="5"/>
      <c r="D16" s="18"/>
      <c r="E16" s="18"/>
      <c r="F16" s="18"/>
      <c r="G16" s="18"/>
      <c r="H16" s="18"/>
      <c r="I16" s="18"/>
      <c r="J16" s="4"/>
    </row>
    <row r="17" spans="2:10" ht="15" thickBot="1" x14ac:dyDescent="0.3">
      <c r="B17" s="4"/>
      <c r="C17" s="4"/>
      <c r="D17" s="16"/>
      <c r="E17" s="16"/>
      <c r="F17" s="16"/>
      <c r="G17" s="16"/>
      <c r="H17" s="16"/>
      <c r="I17" s="16"/>
      <c r="J17" s="4"/>
    </row>
    <row r="18" spans="2:10" ht="15.6" thickBot="1" x14ac:dyDescent="0.35">
      <c r="B18" s="42" t="s">
        <v>38</v>
      </c>
      <c r="C18" s="43"/>
      <c r="D18" s="65">
        <v>0</v>
      </c>
      <c r="E18" s="66"/>
      <c r="F18" s="65">
        <v>21.64</v>
      </c>
      <c r="G18" s="66"/>
      <c r="H18" s="67">
        <v>0</v>
      </c>
      <c r="I18" s="68"/>
      <c r="J18" s="39"/>
    </row>
    <row r="19" spans="2:10" ht="15.6" thickBot="1" x14ac:dyDescent="0.35">
      <c r="B19" s="42" t="s">
        <v>39</v>
      </c>
      <c r="C19" s="43"/>
      <c r="D19" s="65">
        <f>SUM(E5:E14)</f>
        <v>3274.44</v>
      </c>
      <c r="E19" s="66"/>
      <c r="F19" s="65">
        <f>SUM(G5:G14)</f>
        <v>3274.24</v>
      </c>
      <c r="G19" s="66"/>
      <c r="H19" s="67">
        <f>SUM(I5:I14)</f>
        <v>3317.88</v>
      </c>
      <c r="I19" s="68"/>
      <c r="J19" s="40"/>
    </row>
    <row r="20" spans="2:10" ht="15.6" thickBot="1" x14ac:dyDescent="0.35">
      <c r="B20" s="42" t="s">
        <v>40</v>
      </c>
      <c r="C20" s="43"/>
      <c r="D20" s="60">
        <f>D18+D19</f>
        <v>3274.44</v>
      </c>
      <c r="E20" s="61"/>
      <c r="F20" s="58">
        <f>F18+F19</f>
        <v>3295.8799999999997</v>
      </c>
      <c r="G20" s="59"/>
      <c r="H20" s="58">
        <f>H18+H19</f>
        <v>3317.88</v>
      </c>
      <c r="I20" s="59"/>
      <c r="J20" s="41"/>
    </row>
    <row r="21" spans="2:10" ht="15.6" thickBot="1" x14ac:dyDescent="0.35">
      <c r="B21" s="6"/>
      <c r="C21" s="6"/>
      <c r="D21" s="6"/>
      <c r="E21" s="6"/>
      <c r="F21" s="6"/>
      <c r="G21" s="6"/>
    </row>
    <row r="22" spans="2:10" ht="15.6" thickBot="1" x14ac:dyDescent="0.35">
      <c r="B22" s="7" t="s">
        <v>41</v>
      </c>
      <c r="C22" s="48"/>
      <c r="D22" s="49"/>
    </row>
    <row r="23" spans="2:10" ht="15" thickBot="1" x14ac:dyDescent="0.3">
      <c r="B23" s="27" t="s">
        <v>42</v>
      </c>
      <c r="C23" s="28"/>
      <c r="D23" s="29"/>
      <c r="E23" s="30"/>
      <c r="F23" s="30"/>
      <c r="G23" s="30"/>
      <c r="H23" s="30"/>
      <c r="I23" s="30"/>
      <c r="J23" s="31"/>
    </row>
    <row r="24" spans="2:10" ht="15" thickBot="1" x14ac:dyDescent="0.3">
      <c r="B24" s="32" t="s">
        <v>43</v>
      </c>
      <c r="C24" s="33"/>
      <c r="D24" s="34"/>
      <c r="E24" s="35"/>
      <c r="F24" s="35"/>
      <c r="G24" s="35"/>
      <c r="H24" s="35"/>
      <c r="I24" s="35"/>
      <c r="J24" s="36"/>
    </row>
  </sheetData>
  <mergeCells count="24">
    <mergeCell ref="B24:C24"/>
    <mergeCell ref="D24:J24"/>
    <mergeCell ref="D20:E20"/>
    <mergeCell ref="F20:G20"/>
    <mergeCell ref="H20:I20"/>
    <mergeCell ref="C22:D22"/>
    <mergeCell ref="B23:C23"/>
    <mergeCell ref="D23:J23"/>
    <mergeCell ref="B18:C18"/>
    <mergeCell ref="D18:E18"/>
    <mergeCell ref="F18:G18"/>
    <mergeCell ref="H18:I18"/>
    <mergeCell ref="J18:J20"/>
    <mergeCell ref="B19:C19"/>
    <mergeCell ref="D19:E19"/>
    <mergeCell ref="F19:G19"/>
    <mergeCell ref="H19:I19"/>
    <mergeCell ref="B20:C20"/>
    <mergeCell ref="B2:J2"/>
    <mergeCell ref="B3:C3"/>
    <mergeCell ref="D3:E3"/>
    <mergeCell ref="F3:G3"/>
    <mergeCell ref="H3:I3"/>
    <mergeCell ref="J3:J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8C2A-9792-4611-AE52-30B8CD0BC176}">
  <dimension ref="B1:J24"/>
  <sheetViews>
    <sheetView workbookViewId="0">
      <selection activeCell="B6" sqref="B6"/>
    </sheetView>
  </sheetViews>
  <sheetFormatPr defaultRowHeight="14.4" x14ac:dyDescent="0.25"/>
  <cols>
    <col min="2" max="2" width="69.6640625" bestFit="1" customWidth="1"/>
    <col min="3" max="3" width="12" bestFit="1" customWidth="1"/>
    <col min="4" max="4" width="14.6640625" bestFit="1" customWidth="1"/>
    <col min="5" max="5" width="12" bestFit="1" customWidth="1"/>
    <col min="6" max="6" width="14.6640625" bestFit="1" customWidth="1"/>
    <col min="7" max="7" width="12" bestFit="1" customWidth="1"/>
    <col min="8" max="8" width="14.6640625" bestFit="1" customWidth="1"/>
    <col min="9" max="9" width="12" bestFit="1" customWidth="1"/>
    <col min="10" max="10" width="13.5546875" bestFit="1" customWidth="1"/>
  </cols>
  <sheetData>
    <row r="1" spans="2:10" ht="15" thickBot="1" x14ac:dyDescent="0.3"/>
    <row r="2" spans="2:10" ht="15" thickBot="1" x14ac:dyDescent="0.3">
      <c r="B2" s="50" t="s">
        <v>218</v>
      </c>
      <c r="C2" s="51"/>
      <c r="D2" s="51"/>
      <c r="E2" s="51"/>
      <c r="F2" s="51"/>
      <c r="G2" s="51"/>
      <c r="H2" s="51"/>
      <c r="I2" s="51"/>
      <c r="J2" s="52"/>
    </row>
    <row r="3" spans="2:10" ht="15.6" thickBot="1" x14ac:dyDescent="0.35">
      <c r="B3" s="53"/>
      <c r="C3" s="54"/>
      <c r="D3" s="55" t="s">
        <v>112</v>
      </c>
      <c r="E3" s="56"/>
      <c r="F3" s="55" t="s">
        <v>161</v>
      </c>
      <c r="G3" s="57"/>
      <c r="H3" s="55" t="s">
        <v>56</v>
      </c>
      <c r="I3" s="57"/>
      <c r="J3" s="37" t="s">
        <v>4</v>
      </c>
    </row>
    <row r="4" spans="2:10" ht="15.6" thickBot="1" x14ac:dyDescent="0.35">
      <c r="B4" s="1" t="s">
        <v>5</v>
      </c>
      <c r="C4" s="2" t="s">
        <v>6</v>
      </c>
      <c r="D4" s="3" t="s">
        <v>7</v>
      </c>
      <c r="E4" s="2" t="s">
        <v>8</v>
      </c>
      <c r="F4" s="3" t="s">
        <v>7</v>
      </c>
      <c r="G4" s="2" t="s">
        <v>8</v>
      </c>
      <c r="H4" s="3" t="s">
        <v>7</v>
      </c>
      <c r="I4" s="2" t="s">
        <v>8</v>
      </c>
      <c r="J4" s="38"/>
    </row>
    <row r="5" spans="2:10" ht="15" thickBot="1" x14ac:dyDescent="0.3">
      <c r="B5" s="19" t="s">
        <v>217</v>
      </c>
      <c r="C5" s="5">
        <v>1</v>
      </c>
      <c r="D5" s="18">
        <v>1099</v>
      </c>
      <c r="E5" s="18">
        <f t="shared" ref="E5:E14" si="0">D5*C5</f>
        <v>1099</v>
      </c>
      <c r="F5" s="18">
        <v>1099</v>
      </c>
      <c r="G5" s="18">
        <f>F5*C5</f>
        <v>1099</v>
      </c>
      <c r="H5" s="18">
        <v>1099</v>
      </c>
      <c r="I5" s="18">
        <f t="shared" ref="I5:I14" si="1">H5*C5</f>
        <v>1099</v>
      </c>
      <c r="J5" s="4"/>
    </row>
    <row r="6" spans="2:10" ht="15" thickBot="1" x14ac:dyDescent="0.3">
      <c r="B6" s="19" t="s">
        <v>219</v>
      </c>
      <c r="C6" s="5">
        <v>1</v>
      </c>
      <c r="D6" s="18">
        <v>3296.95</v>
      </c>
      <c r="E6" s="18">
        <f t="shared" si="0"/>
        <v>3296.95</v>
      </c>
      <c r="F6" s="18">
        <v>0</v>
      </c>
      <c r="G6" s="18">
        <f t="shared" ref="G6:G14" si="2">F6*C6</f>
        <v>0</v>
      </c>
      <c r="H6" s="18">
        <v>0</v>
      </c>
      <c r="I6" s="18">
        <f t="shared" si="1"/>
        <v>0</v>
      </c>
      <c r="J6" s="4"/>
    </row>
    <row r="7" spans="2:10" ht="15" thickBot="1" x14ac:dyDescent="0.3">
      <c r="B7" s="19"/>
      <c r="C7" s="5">
        <v>1</v>
      </c>
      <c r="D7" s="18">
        <v>0</v>
      </c>
      <c r="E7" s="18">
        <f t="shared" si="0"/>
        <v>0</v>
      </c>
      <c r="F7" s="18">
        <v>0</v>
      </c>
      <c r="G7" s="18">
        <f t="shared" si="2"/>
        <v>0</v>
      </c>
      <c r="H7" s="18">
        <v>0</v>
      </c>
      <c r="I7" s="18">
        <f t="shared" si="1"/>
        <v>0</v>
      </c>
      <c r="J7" s="4"/>
    </row>
    <row r="8" spans="2:10" ht="15" thickBot="1" x14ac:dyDescent="0.3">
      <c r="B8" s="19"/>
      <c r="C8" s="5">
        <v>4</v>
      </c>
      <c r="D8" s="18">
        <v>0</v>
      </c>
      <c r="E8" s="18">
        <f t="shared" si="0"/>
        <v>0</v>
      </c>
      <c r="F8" s="18">
        <v>0</v>
      </c>
      <c r="G8" s="18">
        <f t="shared" si="2"/>
        <v>0</v>
      </c>
      <c r="H8" s="18">
        <v>0</v>
      </c>
      <c r="I8" s="18">
        <f t="shared" si="1"/>
        <v>0</v>
      </c>
      <c r="J8" s="4"/>
    </row>
    <row r="9" spans="2:10" ht="15" thickBot="1" x14ac:dyDescent="0.3">
      <c r="B9" s="19"/>
      <c r="C9" s="5">
        <v>1</v>
      </c>
      <c r="D9" s="18">
        <v>0</v>
      </c>
      <c r="E9" s="18">
        <f t="shared" si="0"/>
        <v>0</v>
      </c>
      <c r="F9" s="18">
        <v>0</v>
      </c>
      <c r="G9" s="18">
        <f t="shared" si="2"/>
        <v>0</v>
      </c>
      <c r="H9" s="18">
        <v>0</v>
      </c>
      <c r="I9" s="18">
        <f t="shared" si="1"/>
        <v>0</v>
      </c>
      <c r="J9" s="4"/>
    </row>
    <row r="10" spans="2:10" ht="15" thickBot="1" x14ac:dyDescent="0.3">
      <c r="B10" s="19"/>
      <c r="C10" s="5">
        <v>1</v>
      </c>
      <c r="D10" s="18">
        <v>0</v>
      </c>
      <c r="E10" s="18">
        <f t="shared" si="0"/>
        <v>0</v>
      </c>
      <c r="F10" s="18">
        <v>0</v>
      </c>
      <c r="G10" s="18">
        <f t="shared" si="2"/>
        <v>0</v>
      </c>
      <c r="H10" s="18">
        <v>0</v>
      </c>
      <c r="I10" s="18">
        <f t="shared" si="1"/>
        <v>0</v>
      </c>
      <c r="J10" s="4"/>
    </row>
    <row r="11" spans="2:10" ht="15" thickBot="1" x14ac:dyDescent="0.3">
      <c r="B11" s="19"/>
      <c r="C11" s="5">
        <v>1</v>
      </c>
      <c r="D11" s="18">
        <v>0</v>
      </c>
      <c r="E11" s="18">
        <f t="shared" si="0"/>
        <v>0</v>
      </c>
      <c r="F11" s="18">
        <v>0</v>
      </c>
      <c r="G11" s="18">
        <f t="shared" si="2"/>
        <v>0</v>
      </c>
      <c r="H11" s="18">
        <v>0</v>
      </c>
      <c r="I11" s="18">
        <f t="shared" si="1"/>
        <v>0</v>
      </c>
      <c r="J11" s="4"/>
    </row>
    <row r="12" spans="2:10" ht="15" thickBot="1" x14ac:dyDescent="0.3">
      <c r="B12" s="19"/>
      <c r="C12" s="5">
        <v>2</v>
      </c>
      <c r="D12" s="18">
        <v>0</v>
      </c>
      <c r="E12" s="18">
        <f t="shared" si="0"/>
        <v>0</v>
      </c>
      <c r="F12" s="18">
        <v>0</v>
      </c>
      <c r="G12" s="18">
        <f t="shared" si="2"/>
        <v>0</v>
      </c>
      <c r="H12" s="18">
        <v>0</v>
      </c>
      <c r="I12" s="18">
        <f t="shared" si="1"/>
        <v>0</v>
      </c>
      <c r="J12" s="4"/>
    </row>
    <row r="13" spans="2:10" ht="15" thickBot="1" x14ac:dyDescent="0.3">
      <c r="B13" s="19"/>
      <c r="C13" s="5">
        <v>3</v>
      </c>
      <c r="D13" s="18">
        <v>0</v>
      </c>
      <c r="E13" s="18">
        <f t="shared" si="0"/>
        <v>0</v>
      </c>
      <c r="F13" s="18">
        <v>0</v>
      </c>
      <c r="G13" s="18">
        <f t="shared" si="2"/>
        <v>0</v>
      </c>
      <c r="H13" s="18">
        <v>0</v>
      </c>
      <c r="I13" s="18">
        <f t="shared" si="1"/>
        <v>0</v>
      </c>
      <c r="J13" s="4"/>
    </row>
    <row r="14" spans="2:10" ht="15" thickBot="1" x14ac:dyDescent="0.3">
      <c r="B14" s="19"/>
      <c r="C14" s="5">
        <v>1</v>
      </c>
      <c r="D14" s="18">
        <v>0</v>
      </c>
      <c r="E14" s="18">
        <f t="shared" si="0"/>
        <v>0</v>
      </c>
      <c r="F14" s="18">
        <v>0</v>
      </c>
      <c r="G14" s="18">
        <f t="shared" si="2"/>
        <v>0</v>
      </c>
      <c r="H14" s="18">
        <v>0</v>
      </c>
      <c r="I14" s="18">
        <f t="shared" si="1"/>
        <v>0</v>
      </c>
      <c r="J14" s="4"/>
    </row>
    <row r="15" spans="2:10" ht="15" thickBot="1" x14ac:dyDescent="0.3">
      <c r="B15" s="4"/>
      <c r="C15" s="5"/>
      <c r="D15" s="18"/>
      <c r="E15" s="18"/>
      <c r="F15" s="18"/>
      <c r="G15" s="18"/>
      <c r="H15" s="18"/>
      <c r="I15" s="18"/>
      <c r="J15" s="4"/>
    </row>
    <row r="16" spans="2:10" ht="15" thickBot="1" x14ac:dyDescent="0.3">
      <c r="B16" s="4"/>
      <c r="C16" s="5"/>
      <c r="D16" s="18"/>
      <c r="E16" s="18"/>
      <c r="F16" s="18"/>
      <c r="G16" s="18"/>
      <c r="H16" s="18"/>
      <c r="I16" s="18"/>
      <c r="J16" s="4"/>
    </row>
    <row r="17" spans="2:10" ht="15" thickBot="1" x14ac:dyDescent="0.3">
      <c r="B17" s="4"/>
      <c r="C17" s="4"/>
      <c r="D17" s="16"/>
      <c r="E17" s="16"/>
      <c r="F17" s="16"/>
      <c r="G17" s="16"/>
      <c r="H17" s="16"/>
      <c r="I17" s="16"/>
      <c r="J17" s="4"/>
    </row>
    <row r="18" spans="2:10" ht="15.6" thickBot="1" x14ac:dyDescent="0.35">
      <c r="B18" s="42" t="s">
        <v>38</v>
      </c>
      <c r="C18" s="43"/>
      <c r="D18" s="65">
        <v>0</v>
      </c>
      <c r="E18" s="66"/>
      <c r="F18" s="65">
        <v>21.64</v>
      </c>
      <c r="G18" s="66"/>
      <c r="H18" s="67">
        <v>0</v>
      </c>
      <c r="I18" s="68"/>
      <c r="J18" s="39"/>
    </row>
    <row r="19" spans="2:10" ht="15.6" thickBot="1" x14ac:dyDescent="0.35">
      <c r="B19" s="42" t="s">
        <v>39</v>
      </c>
      <c r="C19" s="43"/>
      <c r="D19" s="65">
        <f>SUM(E5:E14)</f>
        <v>4395.95</v>
      </c>
      <c r="E19" s="66"/>
      <c r="F19" s="65">
        <f>SUM(G5:G14)</f>
        <v>1099</v>
      </c>
      <c r="G19" s="66"/>
      <c r="H19" s="67">
        <f>SUM(I5:I14)</f>
        <v>1099</v>
      </c>
      <c r="I19" s="68"/>
      <c r="J19" s="40"/>
    </row>
    <row r="20" spans="2:10" ht="15.6" thickBot="1" x14ac:dyDescent="0.35">
      <c r="B20" s="42" t="s">
        <v>40</v>
      </c>
      <c r="C20" s="43"/>
      <c r="D20" s="60">
        <f>D18+D19</f>
        <v>4395.95</v>
      </c>
      <c r="E20" s="61"/>
      <c r="F20" s="58">
        <f>F18+F19</f>
        <v>1120.6400000000001</v>
      </c>
      <c r="G20" s="59"/>
      <c r="H20" s="58">
        <f>H18+H19</f>
        <v>1099</v>
      </c>
      <c r="I20" s="59"/>
      <c r="J20" s="41"/>
    </row>
    <row r="21" spans="2:10" ht="15.6" thickBot="1" x14ac:dyDescent="0.35">
      <c r="B21" s="6"/>
      <c r="C21" s="6"/>
      <c r="D21" s="6"/>
      <c r="E21" s="6"/>
      <c r="F21" s="6"/>
      <c r="G21" s="6"/>
    </row>
    <row r="22" spans="2:10" ht="15.6" thickBot="1" x14ac:dyDescent="0.35">
      <c r="B22" s="7" t="s">
        <v>41</v>
      </c>
      <c r="C22" s="48"/>
      <c r="D22" s="49"/>
    </row>
    <row r="23" spans="2:10" ht="15" thickBot="1" x14ac:dyDescent="0.3">
      <c r="B23" s="27" t="s">
        <v>42</v>
      </c>
      <c r="C23" s="28"/>
      <c r="D23" s="29"/>
      <c r="E23" s="30"/>
      <c r="F23" s="30"/>
      <c r="G23" s="30"/>
      <c r="H23" s="30"/>
      <c r="I23" s="30"/>
      <c r="J23" s="31"/>
    </row>
    <row r="24" spans="2:10" ht="15" thickBot="1" x14ac:dyDescent="0.3">
      <c r="B24" s="32" t="s">
        <v>43</v>
      </c>
      <c r="C24" s="33"/>
      <c r="D24" s="34"/>
      <c r="E24" s="35"/>
      <c r="F24" s="35"/>
      <c r="G24" s="35"/>
      <c r="H24" s="35"/>
      <c r="I24" s="35"/>
      <c r="J24" s="36"/>
    </row>
  </sheetData>
  <mergeCells count="24">
    <mergeCell ref="B24:C24"/>
    <mergeCell ref="D24:J24"/>
    <mergeCell ref="D20:E20"/>
    <mergeCell ref="F20:G20"/>
    <mergeCell ref="H20:I20"/>
    <mergeCell ref="C22:D22"/>
    <mergeCell ref="B23:C23"/>
    <mergeCell ref="D23:J23"/>
    <mergeCell ref="B18:C18"/>
    <mergeCell ref="D18:E18"/>
    <mergeCell ref="F18:G18"/>
    <mergeCell ref="H18:I18"/>
    <mergeCell ref="J18:J20"/>
    <mergeCell ref="B19:C19"/>
    <mergeCell ref="D19:E19"/>
    <mergeCell ref="F19:G19"/>
    <mergeCell ref="H19:I19"/>
    <mergeCell ref="B20:C20"/>
    <mergeCell ref="B2:J2"/>
    <mergeCell ref="B3:C3"/>
    <mergeCell ref="D3:E3"/>
    <mergeCell ref="F3:G3"/>
    <mergeCell ref="H3:I3"/>
    <mergeCell ref="J3:J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5359-1C5B-4DC0-85E1-FE74469C1324}">
  <dimension ref="E3:F11"/>
  <sheetViews>
    <sheetView workbookViewId="0">
      <selection activeCell="G17" sqref="G17"/>
    </sheetView>
  </sheetViews>
  <sheetFormatPr defaultRowHeight="14.4" x14ac:dyDescent="0.25"/>
  <sheetData>
    <row r="3" spans="5:6" ht="15" x14ac:dyDescent="0.3">
      <c r="E3" s="70" t="s">
        <v>201</v>
      </c>
    </row>
    <row r="4" spans="5:6" ht="15" x14ac:dyDescent="0.3">
      <c r="E4" s="70" t="s">
        <v>202</v>
      </c>
    </row>
    <row r="5" spans="5:6" ht="15" x14ac:dyDescent="0.3">
      <c r="E5" s="70" t="s">
        <v>203</v>
      </c>
      <c r="F5" s="70" t="s">
        <v>208</v>
      </c>
    </row>
    <row r="6" spans="5:6" ht="15" x14ac:dyDescent="0.3">
      <c r="E6" s="70" t="s">
        <v>204</v>
      </c>
      <c r="F6" s="70" t="s">
        <v>209</v>
      </c>
    </row>
    <row r="7" spans="5:6" ht="15" x14ac:dyDescent="0.3">
      <c r="E7" s="70" t="s">
        <v>205</v>
      </c>
      <c r="F7" s="70" t="s">
        <v>210</v>
      </c>
    </row>
    <row r="8" spans="5:6" ht="15" x14ac:dyDescent="0.3">
      <c r="E8" s="70" t="s">
        <v>207</v>
      </c>
      <c r="F8" s="70" t="s">
        <v>211</v>
      </c>
    </row>
    <row r="9" spans="5:6" ht="15" x14ac:dyDescent="0.3">
      <c r="E9" s="70" t="s">
        <v>206</v>
      </c>
      <c r="F9" s="70" t="s">
        <v>204</v>
      </c>
    </row>
    <row r="10" spans="5:6" ht="15" x14ac:dyDescent="0.3">
      <c r="E10" s="70" t="s">
        <v>212</v>
      </c>
    </row>
    <row r="11" spans="5:6" ht="15" x14ac:dyDescent="0.3">
      <c r="E11" s="70" t="s">
        <v>213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2681-D361-4A5E-B0AE-310F1C28338A}">
  <dimension ref="B1:F24"/>
  <sheetViews>
    <sheetView workbookViewId="0">
      <selection activeCell="B2" sqref="B2:F4"/>
    </sheetView>
  </sheetViews>
  <sheetFormatPr defaultRowHeight="14.4" x14ac:dyDescent="0.25"/>
  <cols>
    <col min="2" max="2" width="52.33203125" bestFit="1" customWidth="1"/>
    <col min="3" max="3" width="12" bestFit="1" customWidth="1"/>
    <col min="4" max="4" width="14.6640625" bestFit="1" customWidth="1"/>
    <col min="5" max="5" width="12" bestFit="1" customWidth="1"/>
    <col min="6" max="6" width="13.5546875" bestFit="1" customWidth="1"/>
  </cols>
  <sheetData>
    <row r="1" spans="2:6" ht="15" thickBot="1" x14ac:dyDescent="0.3"/>
    <row r="2" spans="2:6" ht="15" thickBot="1" x14ac:dyDescent="0.3">
      <c r="B2" s="50" t="s">
        <v>198</v>
      </c>
      <c r="C2" s="51"/>
      <c r="D2" s="51"/>
      <c r="E2" s="51"/>
      <c r="F2" s="52"/>
    </row>
    <row r="3" spans="2:6" ht="15.6" thickBot="1" x14ac:dyDescent="0.35">
      <c r="B3" s="53"/>
      <c r="C3" s="54"/>
      <c r="D3" s="55" t="s">
        <v>197</v>
      </c>
      <c r="E3" s="56"/>
      <c r="F3" s="37" t="s">
        <v>4</v>
      </c>
    </row>
    <row r="4" spans="2:6" ht="15.6" thickBot="1" x14ac:dyDescent="0.35">
      <c r="B4" s="1" t="s">
        <v>5</v>
      </c>
      <c r="C4" s="2" t="s">
        <v>6</v>
      </c>
      <c r="D4" s="3" t="s">
        <v>7</v>
      </c>
      <c r="E4" s="2" t="s">
        <v>8</v>
      </c>
      <c r="F4" s="38"/>
    </row>
    <row r="5" spans="2:6" ht="15" thickBot="1" x14ac:dyDescent="0.3">
      <c r="B5" s="19" t="s">
        <v>190</v>
      </c>
      <c r="C5" s="5">
        <v>16</v>
      </c>
      <c r="D5" s="18">
        <v>35</v>
      </c>
      <c r="E5" s="18">
        <f t="shared" ref="E5:E14" si="0">D5*C5</f>
        <v>560</v>
      </c>
      <c r="F5" s="4"/>
    </row>
    <row r="6" spans="2:6" ht="15" thickBot="1" x14ac:dyDescent="0.3">
      <c r="B6" s="19" t="s">
        <v>191</v>
      </c>
      <c r="C6" s="5">
        <v>6</v>
      </c>
      <c r="D6" s="18">
        <v>85</v>
      </c>
      <c r="E6" s="18">
        <f t="shared" si="0"/>
        <v>510</v>
      </c>
      <c r="F6" s="4"/>
    </row>
    <row r="7" spans="2:6" ht="15" thickBot="1" x14ac:dyDescent="0.3">
      <c r="B7" s="19" t="s">
        <v>192</v>
      </c>
      <c r="C7" s="5">
        <v>2</v>
      </c>
      <c r="D7" s="18">
        <v>350</v>
      </c>
      <c r="E7" s="18">
        <f t="shared" si="0"/>
        <v>700</v>
      </c>
      <c r="F7" s="4"/>
    </row>
    <row r="8" spans="2:6" ht="15" thickBot="1" x14ac:dyDescent="0.3">
      <c r="B8" s="19" t="s">
        <v>193</v>
      </c>
      <c r="C8" s="5">
        <v>6</v>
      </c>
      <c r="D8" s="18">
        <v>350</v>
      </c>
      <c r="E8" s="18">
        <f t="shared" si="0"/>
        <v>2100</v>
      </c>
      <c r="F8" s="4"/>
    </row>
    <row r="9" spans="2:6" ht="15" thickBot="1" x14ac:dyDescent="0.3">
      <c r="B9" s="19" t="s">
        <v>194</v>
      </c>
      <c r="C9" s="5">
        <v>1</v>
      </c>
      <c r="D9" s="18">
        <v>280</v>
      </c>
      <c r="E9" s="18">
        <f t="shared" si="0"/>
        <v>280</v>
      </c>
      <c r="F9" s="4"/>
    </row>
    <row r="10" spans="2:6" ht="15" thickBot="1" x14ac:dyDescent="0.3">
      <c r="B10" s="19" t="s">
        <v>199</v>
      </c>
      <c r="C10" s="5">
        <v>10</v>
      </c>
      <c r="D10" s="18">
        <v>65</v>
      </c>
      <c r="E10" s="18">
        <f t="shared" si="0"/>
        <v>650</v>
      </c>
      <c r="F10" s="4"/>
    </row>
    <row r="11" spans="2:6" ht="15" thickBot="1" x14ac:dyDescent="0.3">
      <c r="B11" s="19" t="s">
        <v>200</v>
      </c>
      <c r="C11" s="5">
        <v>83</v>
      </c>
      <c r="D11" s="18">
        <v>65</v>
      </c>
      <c r="E11" s="18">
        <f t="shared" si="0"/>
        <v>5395</v>
      </c>
      <c r="F11" s="4"/>
    </row>
    <row r="12" spans="2:6" ht="15" thickBot="1" x14ac:dyDescent="0.3">
      <c r="B12" s="19" t="s">
        <v>195</v>
      </c>
      <c r="C12" s="5">
        <v>6</v>
      </c>
      <c r="D12" s="18">
        <v>300</v>
      </c>
      <c r="E12" s="18">
        <f t="shared" si="0"/>
        <v>1800</v>
      </c>
      <c r="F12" s="4"/>
    </row>
    <row r="13" spans="2:6" ht="15" thickBot="1" x14ac:dyDescent="0.3">
      <c r="B13" s="19" t="s">
        <v>196</v>
      </c>
      <c r="C13" s="5"/>
      <c r="D13" s="18">
        <v>700</v>
      </c>
      <c r="E13" s="18">
        <v>700</v>
      </c>
      <c r="F13" s="4"/>
    </row>
    <row r="14" spans="2:6" ht="15" thickBot="1" x14ac:dyDescent="0.3">
      <c r="B14" s="19"/>
      <c r="C14" s="5"/>
      <c r="D14" s="18">
        <v>0</v>
      </c>
      <c r="E14" s="18">
        <f t="shared" si="0"/>
        <v>0</v>
      </c>
      <c r="F14" s="4"/>
    </row>
    <row r="15" spans="2:6" ht="15" thickBot="1" x14ac:dyDescent="0.3">
      <c r="B15" s="4"/>
      <c r="C15" s="5"/>
      <c r="D15" s="18"/>
      <c r="E15" s="18"/>
      <c r="F15" s="4"/>
    </row>
    <row r="16" spans="2:6" ht="15" thickBot="1" x14ac:dyDescent="0.3">
      <c r="B16" s="4"/>
      <c r="C16" s="5"/>
      <c r="D16" s="18"/>
      <c r="E16" s="18"/>
      <c r="F16" s="4"/>
    </row>
    <row r="17" spans="2:6" ht="15" thickBot="1" x14ac:dyDescent="0.3">
      <c r="B17" s="4"/>
      <c r="C17" s="4"/>
      <c r="D17" s="16"/>
      <c r="E17" s="16"/>
      <c r="F17" s="4"/>
    </row>
    <row r="18" spans="2:6" ht="15.6" thickBot="1" x14ac:dyDescent="0.35">
      <c r="B18" s="42" t="s">
        <v>38</v>
      </c>
      <c r="C18" s="43"/>
      <c r="D18" s="65">
        <v>0</v>
      </c>
      <c r="E18" s="66"/>
      <c r="F18" s="39"/>
    </row>
    <row r="19" spans="2:6" ht="15.6" thickBot="1" x14ac:dyDescent="0.35">
      <c r="B19" s="42" t="s">
        <v>39</v>
      </c>
      <c r="C19" s="43"/>
      <c r="D19" s="65">
        <f>SUM(E5:E17)</f>
        <v>12695</v>
      </c>
      <c r="E19" s="66"/>
      <c r="F19" s="40"/>
    </row>
    <row r="20" spans="2:6" ht="15.6" thickBot="1" x14ac:dyDescent="0.35">
      <c r="B20" s="42" t="s">
        <v>40</v>
      </c>
      <c r="C20" s="43"/>
      <c r="D20" s="60">
        <f>D18+D19</f>
        <v>12695</v>
      </c>
      <c r="E20" s="61"/>
      <c r="F20" s="41"/>
    </row>
    <row r="21" spans="2:6" ht="15.6" thickBot="1" x14ac:dyDescent="0.35">
      <c r="B21" s="6"/>
      <c r="C21" s="6"/>
      <c r="D21" s="6"/>
      <c r="E21" s="6"/>
    </row>
    <row r="22" spans="2:6" ht="15.6" thickBot="1" x14ac:dyDescent="0.35">
      <c r="B22" s="7" t="s">
        <v>41</v>
      </c>
      <c r="C22" s="48"/>
      <c r="D22" s="49"/>
    </row>
    <row r="23" spans="2:6" ht="15" thickBot="1" x14ac:dyDescent="0.3">
      <c r="B23" s="27" t="s">
        <v>42</v>
      </c>
      <c r="C23" s="28"/>
      <c r="D23" s="29"/>
      <c r="E23" s="30"/>
      <c r="F23" s="31"/>
    </row>
    <row r="24" spans="2:6" ht="15" thickBot="1" x14ac:dyDescent="0.3">
      <c r="B24" s="32" t="s">
        <v>43</v>
      </c>
      <c r="C24" s="33"/>
      <c r="D24" s="34"/>
      <c r="E24" s="35"/>
      <c r="F24" s="36"/>
    </row>
  </sheetData>
  <mergeCells count="16">
    <mergeCell ref="B24:C24"/>
    <mergeCell ref="D24:F24"/>
    <mergeCell ref="D20:E20"/>
    <mergeCell ref="C22:D22"/>
    <mergeCell ref="B23:C23"/>
    <mergeCell ref="D23:F23"/>
    <mergeCell ref="B18:C18"/>
    <mergeCell ref="D18:E18"/>
    <mergeCell ref="F18:F20"/>
    <mergeCell ref="B19:C19"/>
    <mergeCell ref="D19:E19"/>
    <mergeCell ref="B20:C20"/>
    <mergeCell ref="B2:F2"/>
    <mergeCell ref="B3:C3"/>
    <mergeCell ref="D3:E3"/>
    <mergeCell ref="F3:F4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LIMPEZA</vt:lpstr>
      <vt:lpstr>COPA</vt:lpstr>
      <vt:lpstr>ESCRITÓRIO</vt:lpstr>
      <vt:lpstr>CAIXAS</vt:lpstr>
      <vt:lpstr>E.P.I'S</vt:lpstr>
      <vt:lpstr>1º SOCORROS</vt:lpstr>
      <vt:lpstr>MATERIAL EXPEDIÇÃO</vt:lpstr>
      <vt:lpstr>ITENS IMPRESSORAS</vt:lpstr>
      <vt:lpstr>ETIQUETAS-RIBONS</vt:lpstr>
      <vt:lpstr>DIVERSOS</vt:lpstr>
      <vt:lpstr>10 anos</vt:lpstr>
      <vt:lpstr>Planilha2</vt:lpstr>
      <vt:lpstr>Planilha6</vt:lpstr>
      <vt:lpstr>Planilha5</vt:lpstr>
      <vt:lpstr>Placas de Sinalização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Duarte</dc:creator>
  <cp:lastModifiedBy>Luana Duarte</cp:lastModifiedBy>
  <cp:lastPrinted>2025-09-23T15:12:52Z</cp:lastPrinted>
  <dcterms:created xsi:type="dcterms:W3CDTF">2025-07-24T14:57:00Z</dcterms:created>
  <dcterms:modified xsi:type="dcterms:W3CDTF">2025-09-23T17:00:28Z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17B0F0642F814C5E9E6C105AFE9EBE2A_13</vt:lpwstr>
  </property>
  <property fmtid="{D5CDD505-2E9C-101B-9397-08002B2CF9AE}" pid="3" name="KSOProductBuildVer">
    <vt:lpwstr>1046-12.2.0.21931</vt:lpwstr>
  </property>
</Properties>
</file>